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_dup\Downloads\sql prjct\туц\results\"/>
    </mc:Choice>
  </mc:AlternateContent>
  <xr:revisionPtr revIDLastSave="0" documentId="8_{0885EFEF-94A4-4202-B7A6-ACE0B27181BD}" xr6:coauthVersionLast="47" xr6:coauthVersionMax="47" xr10:uidLastSave="{00000000-0000-0000-0000-000000000000}"/>
  <bookViews>
    <workbookView xWindow="-110" yWindow="-110" windowWidth="19420" windowHeight="10420" tabRatio="862" xr2:uid="{2513D695-09D9-4F6C-8E34-31BA8D2BDF1E}"/>
  </bookViews>
  <sheets>
    <sheet name="Dashboard" sheetId="1" r:id="rId1"/>
    <sheet name="Report" sheetId="16" r:id="rId2"/>
    <sheet name="6_revenue_percent" sheetId="9" r:id="rId3"/>
    <sheet name="7_AVG_MED" sheetId="3" r:id="rId4"/>
    <sheet name="8_products_KPI" sheetId="10" r:id="rId5"/>
    <sheet name="9_top_products" sheetId="11" r:id="rId6"/>
    <sheet name="10_ABC" sheetId="12" r:id="rId7"/>
  </sheets>
  <definedNames>
    <definedName name="_xlchart.v1.0" hidden="1">'10_ABC'!$B$2:$B$25</definedName>
    <definedName name="_xlchart.v1.1" hidden="1">'10_ABC'!$C$1</definedName>
    <definedName name="_xlchart.v1.2" hidden="1">'10_ABC'!$C$2:$C$25</definedName>
    <definedName name="_xlchart.v1.3" hidden="1">'10_ABC'!$E$1</definedName>
    <definedName name="_xlchart.v1.4" hidden="1">'10_ABC'!$E$2:$E$25</definedName>
    <definedName name="_xlchart.v1.5" hidden="1">'10_ABC'!$B$2:$B$25</definedName>
    <definedName name="_xlchart.v1.6" hidden="1">'10_ABC'!$C$1</definedName>
    <definedName name="_xlchart.v1.7" hidden="1">'10_ABC'!$C$2:$C$25</definedName>
    <definedName name="_xlchart.v1.8" hidden="1">'10_ABC'!$E$1</definedName>
    <definedName name="_xlchart.v1.9" hidden="1">'10_ABC'!$E$2:$E$25</definedName>
    <definedName name="ExternalData_1" localSheetId="6" hidden="1">'10_ABC'!$A$1:$F$25</definedName>
    <definedName name="ExternalData_1" localSheetId="2" hidden="1">'6_revenue_percent'!$A$1:$F$25</definedName>
    <definedName name="ExternalData_1" localSheetId="3" hidden="1">'7_AVG_MED'!$A$1:$G$49</definedName>
    <definedName name="ExternalData_1" localSheetId="4" hidden="1">'8_products_KPI'!$A$1:$H$2</definedName>
    <definedName name="ExternalData_1" localSheetId="5" hidden="1">'9_top_products'!$A$1:$B$4</definedName>
  </definedNames>
  <calcPr calcId="181029"/>
  <pivotCaches>
    <pivotCache cacheId="24" r:id="rId8"/>
    <pivotCache cacheId="83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2" l="1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" i="12"/>
  <c r="I21" i="12"/>
  <c r="I22" i="12"/>
  <c r="I20" i="12"/>
  <c r="L5" i="1"/>
  <c r="J5" i="1"/>
  <c r="H5" i="1"/>
  <c r="F5" i="1"/>
  <c r="D5" i="1"/>
  <c r="B5" i="1"/>
  <c r="G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E2" i="11"/>
  <c r="E3" i="11"/>
  <c r="E4" i="11"/>
  <c r="F49" i="3"/>
  <c r="F48" i="3"/>
  <c r="D49" i="3"/>
  <c r="D48" i="3"/>
  <c r="F47" i="3"/>
  <c r="D47" i="3"/>
  <c r="H2" i="11"/>
  <c r="H3" i="11"/>
  <c r="H4" i="11"/>
  <c r="G2" i="11"/>
  <c r="G3" i="11"/>
  <c r="G4" i="11"/>
  <c r="D2" i="11"/>
  <c r="D3" i="11"/>
  <c r="D4" i="11"/>
  <c r="F2" i="11"/>
  <c r="F3" i="11"/>
  <c r="F4" i="11"/>
  <c r="C2" i="11"/>
  <c r="C3" i="11"/>
  <c r="C4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4652BD-8FC6-4B37-979B-64B699154155}" keepAlive="1" name="Запрос — 10_ABC" description="Соединение с запросом &quot;10_ABC&quot; в книге." type="5" refreshedVersion="8" background="1" saveData="1">
    <dbPr connection="Provider=Microsoft.Mashup.OleDb.1;Data Source=$Workbook$;Location=10_ABC;Extended Properties=&quot;&quot;" command="SELECT * FROM [10_ABC]"/>
  </connection>
  <connection id="2" xr16:uid="{E223F4F7-1243-4D50-A48A-E3C01E740845}" keepAlive="1" name="Запрос — 6_revenue_percent" description="Соединение с запросом &quot;6_revenue_percent&quot; в книге." type="5" refreshedVersion="8" background="1" saveData="1">
    <dbPr connection="Provider=Microsoft.Mashup.OleDb.1;Data Source=$Workbook$;Location=6_revenue_percent;Extended Properties=&quot;&quot;" command="SELECT * FROM [6_revenue_percent]"/>
  </connection>
  <connection id="3" xr16:uid="{F356703E-26B3-4107-AAA5-097E9720DA21}" keepAlive="1" name="Запрос — 7_AVG_MED" description="Соединение с запросом &quot;7_AVG_MED&quot; в книге." type="5" refreshedVersion="8" background="1" saveData="1">
    <dbPr connection="Provider=Microsoft.Mashup.OleDb.1;Data Source=$Workbook$;Location=7_AVG_MED;Extended Properties=&quot;&quot;" command="SELECT * FROM [7_AVG_MED]"/>
  </connection>
  <connection id="4" xr16:uid="{9994CEF9-F90C-403F-9127-AA89C3634C64}" keepAlive="1" name="Запрос — 8_products_KPI" description="Соединение с запросом &quot;8_products_KPI&quot; в книге." type="5" refreshedVersion="8" background="1" saveData="1">
    <dbPr connection="Provider=Microsoft.Mashup.OleDb.1;Data Source=$Workbook$;Location=8_products_KPI;Extended Properties=&quot;&quot;" command="SELECT * FROM [8_products_KPI]"/>
  </connection>
  <connection id="5" xr16:uid="{E89AC086-992E-407A-9BE8-42490C83167C}" keepAlive="1" name="Запрос — 9_top_products" description="Соединение с запросом &quot;9_top_products&quot; в книге." type="5" refreshedVersion="8" background="1" saveData="1">
    <dbPr connection="Provider=Microsoft.Mashup.OleDb.1;Data Source=$Workbook$;Location=9_top_products;Extended Properties=&quot;&quot;" command="SELECT * FROM [9_top_products]"/>
  </connection>
</connections>
</file>

<file path=xl/sharedStrings.xml><?xml version="1.0" encoding="utf-8"?>
<sst xmlns="http://schemas.openxmlformats.org/spreadsheetml/2006/main" count="413" uniqueCount="140">
  <si>
    <t>category</t>
  </si>
  <si>
    <t>id</t>
  </si>
  <si>
    <t>product_name</t>
  </si>
  <si>
    <t>revenue</t>
  </si>
  <si>
    <t>category_revenue</t>
  </si>
  <si>
    <t>share_percent</t>
  </si>
  <si>
    <t>Baked Goods &amp; Mixes</t>
  </si>
  <si>
    <t>Northwind Traders Chocolate Biscuits Mix</t>
  </si>
  <si>
    <t>Northwind Traders Scones</t>
  </si>
  <si>
    <t>Beverages</t>
  </si>
  <si>
    <t>Northwind Traders Coffee</t>
  </si>
  <si>
    <t>Northwind Traders Beer</t>
  </si>
  <si>
    <t>Northwind Traders Green Tea</t>
  </si>
  <si>
    <t>Northwind Traders Chai</t>
  </si>
  <si>
    <t>Candy</t>
  </si>
  <si>
    <t>Northwind Traders Chocolate</t>
  </si>
  <si>
    <t>Canned Fruit &amp; Vegetables</t>
  </si>
  <si>
    <t>Northwind Traders Fruit Cocktail</t>
  </si>
  <si>
    <t>Canned Meat</t>
  </si>
  <si>
    <t>Northwind Traders Crab Meat</t>
  </si>
  <si>
    <t>Condiments</t>
  </si>
  <si>
    <t>Northwind Traders Cajun Seasoning</t>
  </si>
  <si>
    <t>Northwind Traders Syrup</t>
  </si>
  <si>
    <t>Dairy products</t>
  </si>
  <si>
    <t>Northwind Traders Mozzarella</t>
  </si>
  <si>
    <t>Dried Fruit &amp; Nuts</t>
  </si>
  <si>
    <t>Northwind Traders Dried Apples</t>
  </si>
  <si>
    <t>Northwind Traders Dried Pears</t>
  </si>
  <si>
    <t>Northwind Traders Dried Plums</t>
  </si>
  <si>
    <t>Northwind Traders Almonds</t>
  </si>
  <si>
    <t>Grains</t>
  </si>
  <si>
    <t>Northwind Traders Long Grain Rice</t>
  </si>
  <si>
    <t>Jams, Preserves</t>
  </si>
  <si>
    <t>Northwind Traders Marmalade</t>
  </si>
  <si>
    <t>Northwind Traders Boysenberry Spread</t>
  </si>
  <si>
    <t>Oil</t>
  </si>
  <si>
    <t>Northwind Traders Olive Oil</t>
  </si>
  <si>
    <t>Pasta</t>
  </si>
  <si>
    <t>Northwind Traders Ravioli</t>
  </si>
  <si>
    <t>Northwind Traders Gnocchi</t>
  </si>
  <si>
    <t>Sauces</t>
  </si>
  <si>
    <t>Northwind Traders Curry Sauce</t>
  </si>
  <si>
    <t>Soups</t>
  </si>
  <si>
    <t>Northwind Traders Clam Chowder</t>
  </si>
  <si>
    <t>list_price</t>
  </si>
  <si>
    <t>average_price_comparison</t>
  </si>
  <si>
    <t>average_price</t>
  </si>
  <si>
    <t>median_price_comparison</t>
  </si>
  <si>
    <t>median_price</t>
  </si>
  <si>
    <t>Northwind Traders Brownie Mix</t>
  </si>
  <si>
    <t>&gt; AVG</t>
  </si>
  <si>
    <t>&gt; MED</t>
  </si>
  <si>
    <t>Northwind Traders Cake Mix</t>
  </si>
  <si>
    <t>&lt; AVG</t>
  </si>
  <si>
    <t>&lt; MED</t>
  </si>
  <si>
    <t>= MED</t>
  </si>
  <si>
    <t>Northwind Traders Tea</t>
  </si>
  <si>
    <t>= AVG</t>
  </si>
  <si>
    <t>Northwind Traders Cherry Pie Filling</t>
  </si>
  <si>
    <t>Northwind Traders Corn</t>
  </si>
  <si>
    <t>Northwind Traders Green Beans</t>
  </si>
  <si>
    <t>Northwind Traders Peaches</t>
  </si>
  <si>
    <t>Northwind Traders Pears</t>
  </si>
  <si>
    <t>Northwind Traders Peas</t>
  </si>
  <si>
    <t>Northwind Traders Pineapple</t>
  </si>
  <si>
    <t>Northwind Traders Smoked Salmon</t>
  </si>
  <si>
    <t>Northwind Traders Tuna Fish</t>
  </si>
  <si>
    <t>Cereal</t>
  </si>
  <si>
    <t>Northwind Traders Granola</t>
  </si>
  <si>
    <t>Northwind Traders Hot Cereal</t>
  </si>
  <si>
    <t>Chips, Snacks</t>
  </si>
  <si>
    <t>Northwind Traders Potato Chips</t>
  </si>
  <si>
    <t>Northwind Traders Mustard</t>
  </si>
  <si>
    <t>Northwind Traders Walnuts</t>
  </si>
  <si>
    <t>Northwind Traders Hot Pepper Sauce</t>
  </si>
  <si>
    <t>Northwind Traders Tomato Sauce</t>
  </si>
  <si>
    <t>Northwind Traders Chicken Soup</t>
  </si>
  <si>
    <t>Northwind Traders Vegetable Soup</t>
  </si>
  <si>
    <t>categories_unique</t>
  </si>
  <si>
    <t>products_unique</t>
  </si>
  <si>
    <t>active_products</t>
  </si>
  <si>
    <t>discontinued_products</t>
  </si>
  <si>
    <t>products_sold</t>
  </si>
  <si>
    <t>never_sold_products</t>
  </si>
  <si>
    <t>average_product_price</t>
  </si>
  <si>
    <t>average_units_per_product</t>
  </si>
  <si>
    <t>top_selling_product</t>
  </si>
  <si>
    <t>top_revenue_product</t>
  </si>
  <si>
    <t>top_price_product</t>
  </si>
  <si>
    <t>revenue_share_percent</t>
  </si>
  <si>
    <t>cumulative_share_percent</t>
  </si>
  <si>
    <t>abc_category</t>
  </si>
  <si>
    <t>A</t>
  </si>
  <si>
    <t>B</t>
  </si>
  <si>
    <t>C</t>
  </si>
  <si>
    <t>rating_type</t>
  </si>
  <si>
    <t>AVG &gt;</t>
  </si>
  <si>
    <t>AVG =</t>
  </si>
  <si>
    <t>AVG &lt;</t>
  </si>
  <si>
    <t>MED &gt;</t>
  </si>
  <si>
    <t>MED =</t>
  </si>
  <si>
    <t>MED &lt;</t>
  </si>
  <si>
    <t>Общий итог</t>
  </si>
  <si>
    <t>revenue_rating</t>
  </si>
  <si>
    <t>ABC-АНАЛИЗ</t>
  </si>
  <si>
    <t>Названия столбцов</t>
  </si>
  <si>
    <t>Количество по полю product_name</t>
  </si>
  <si>
    <t>УНИКАЛЬНЫХ КАТЕГОРИЙ</t>
  </si>
  <si>
    <t>УНИКАЛЬНЫХ ТОВАРОВ</t>
  </si>
  <si>
    <t>ТОВАРОВ ПРОДАНО</t>
  </si>
  <si>
    <t>САМЫЙ ПРИБЫЛЬНЫЙ ТОВАР</t>
  </si>
  <si>
    <t>САМЫЙ ПРОДАВАЕМЫЙ ТОВАР</t>
  </si>
  <si>
    <t>САМЫЙ ДОРОГОЙ ТОВАР</t>
  </si>
  <si>
    <t>ABC</t>
  </si>
  <si>
    <t>revenue_abc</t>
  </si>
  <si>
    <t>АНАЛИЗ АССОРТИМЕНТА И ПРОДАЖ NORTHWIND</t>
  </si>
  <si>
    <t>Подробнее</t>
  </si>
  <si>
    <t>1.</t>
  </si>
  <si>
    <t>2.</t>
  </si>
  <si>
    <t>3.</t>
  </si>
  <si>
    <t>НАБЛЮДЕНИЯ</t>
  </si>
  <si>
    <r>
      <rPr>
        <b/>
        <sz val="12"/>
        <color theme="1"/>
        <rFont val="Calibri"/>
        <family val="2"/>
        <charset val="204"/>
        <scheme val="minor"/>
      </rPr>
      <t>Beverages - лидер среди категорий.</t>
    </r>
    <r>
      <rPr>
        <sz val="12"/>
        <color theme="1"/>
        <rFont val="Calibri"/>
        <family val="2"/>
        <charset val="204"/>
        <scheme val="minor"/>
      </rPr>
      <t xml:space="preserve"> Она существенно превосходит остальные по объему выручки и является ключевой для бизнеса.</t>
    </r>
  </si>
  <si>
    <r>
      <rPr>
        <b/>
        <sz val="12"/>
        <color theme="1"/>
        <rFont val="Calibri"/>
        <family val="2"/>
        <charset val="204"/>
        <scheme val="minor"/>
      </rPr>
      <t>ABC-анализ демонстрирует узкий круг успешных товаров.</t>
    </r>
    <r>
      <rPr>
        <sz val="12"/>
        <color theme="1"/>
        <rFont val="Calibri"/>
        <family val="2"/>
        <charset val="204"/>
        <scheme val="minor"/>
      </rPr>
      <t xml:space="preserve"> Всего 9 товаров формируют около 80% выручки, что указывает на сильную зависимость выручки от ограниченного набора позиций.</t>
    </r>
  </si>
  <si>
    <r>
      <rPr>
        <b/>
        <sz val="12"/>
        <color theme="1"/>
        <rFont val="Calibri"/>
        <family val="2"/>
        <charset val="204"/>
        <scheme val="minor"/>
      </rPr>
      <t>Асимметрия цен.</t>
    </r>
    <r>
      <rPr>
        <sz val="12"/>
        <color theme="1"/>
        <rFont val="Calibri"/>
        <family val="2"/>
        <charset val="204"/>
        <scheme val="minor"/>
      </rPr>
      <t xml:space="preserve"> 60% товаров стоят дешевле среднего - в категориях могут быть единичные, но дорогие товары. Средняя цена категории может быть искажена несколькими дорогими товарами.</t>
    </r>
  </si>
  <si>
    <r>
      <rPr>
        <b/>
        <sz val="12"/>
        <color theme="1"/>
        <rFont val="Calibri"/>
        <family val="2"/>
        <charset val="204"/>
        <scheme val="minor"/>
      </rPr>
      <t>Низкое товарное разнообразие внутри категорий.</t>
    </r>
    <r>
      <rPr>
        <sz val="12"/>
        <color theme="1"/>
        <rFont val="Calibri"/>
        <family val="2"/>
        <charset val="204"/>
        <scheme val="minor"/>
      </rPr>
      <t xml:space="preserve"> На каждую категорию приходится от 1 до 7 товаров, что также отражается на распределении относительно медианы.</t>
    </r>
  </si>
  <si>
    <r>
      <rPr>
        <b/>
        <sz val="12"/>
        <color theme="1"/>
        <rFont val="Calibri"/>
        <family val="2"/>
        <charset val="204"/>
        <scheme val="minor"/>
      </rPr>
      <t xml:space="preserve">Хорошие продажи не тождественны большой прибыли. </t>
    </r>
    <r>
      <rPr>
        <sz val="12"/>
        <color theme="1"/>
        <rFont val="Calibri"/>
        <family val="2"/>
        <charset val="204"/>
        <scheme val="minor"/>
      </rPr>
      <t>Northwind Traders Beer является самым продаваемым товаром, но не самым прибыльным.</t>
    </r>
  </si>
  <si>
    <r>
      <rPr>
        <b/>
        <sz val="12"/>
        <color theme="1"/>
        <rFont val="Calibri"/>
        <family val="2"/>
        <charset val="204"/>
        <scheme val="minor"/>
      </rPr>
      <t xml:space="preserve">Высокая цена не гарантирует высокий вклад в доход. </t>
    </r>
    <r>
      <rPr>
        <sz val="12"/>
        <color theme="1"/>
        <rFont val="Calibri"/>
        <family val="2"/>
        <charset val="204"/>
        <scheme val="minor"/>
      </rPr>
      <t>Northwind Traders Marmalade - самый дорогой товар, но не является самым прибыльным и по выручке лишь немного отличается от ряда более дешевых товаров.</t>
    </r>
  </si>
  <si>
    <t>4.</t>
  </si>
  <si>
    <t>5.</t>
  </si>
  <si>
    <t>6.</t>
  </si>
  <si>
    <t>7.</t>
  </si>
  <si>
    <t>8.</t>
  </si>
  <si>
    <r>
      <rPr>
        <b/>
        <sz val="12"/>
        <color theme="1"/>
        <rFont val="Calibri"/>
        <family val="2"/>
        <charset val="204"/>
        <scheme val="minor"/>
      </rPr>
      <t>Не все товары продаются.</t>
    </r>
    <r>
      <rPr>
        <sz val="12"/>
        <color theme="1"/>
        <rFont val="Calibri"/>
        <family val="2"/>
        <charset val="204"/>
        <scheme val="minor"/>
      </rPr>
      <t xml:space="preserve"> Значительная доля ассортимента приносит мало или вовсе не приносит дохода. Только 23 из 45 товаров дали выручку.</t>
    </r>
  </si>
  <si>
    <r>
      <rPr>
        <b/>
        <sz val="12"/>
        <color theme="1"/>
        <rFont val="Calibri"/>
        <family val="2"/>
        <charset val="204"/>
        <scheme val="minor"/>
      </rPr>
      <t>Выручка концентрируется у трех товаров</t>
    </r>
    <r>
      <rPr>
        <sz val="12"/>
        <color theme="1"/>
        <rFont val="Calibri"/>
        <family val="2"/>
        <charset val="204"/>
        <scheme val="minor"/>
      </rPr>
      <t>. Распределение выручки крайне неравномерное - один товар, Northwind Traders Coffee, заметно опережает остальные, а большая доля выручки приходится на три ключевых товара: лидера по стоимости, лидера по продажам и лидера по выручке.</t>
    </r>
  </si>
  <si>
    <t>ПРЕДЛОЖЕНИЯ</t>
  </si>
  <si>
    <t>Пересмотреть ассортимент с низкой отдачей, особенно товары категории C по выручке и не давшие выручку.</t>
  </si>
  <si>
    <t>Рассмотреть запуск промо для товаров, которые пока не принесли выручки.</t>
  </si>
  <si>
    <t>Сфокусировать внимание на ключевых товарах и категории Beverages как на основном источнике дохода.</t>
  </si>
  <si>
    <t>Использовать ABC-анализ и выручку в качестве базовых критериев при оценке ассортимента.</t>
  </si>
  <si>
    <t>Проанализировать динамику продаж во времени.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</si>
</sst>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$-409]#,##0.00"/>
    <numFmt numFmtId="169" formatCode="_-[$$-409]* #,##0.00_ ;_-[$$-409]* \-#,##0.00\ ;_-[$$-409]* &quot;-&quot;??_ ;_-@_ "/>
  </numFmts>
  <fonts count="1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26"/>
      <color theme="4" tint="0.79998168889431442"/>
      <name val="Arial Black"/>
      <family val="2"/>
      <charset val="204"/>
    </font>
    <font>
      <b/>
      <sz val="36"/>
      <color theme="4" tint="0.79998168889431442"/>
      <name val="Arial Black"/>
      <family val="2"/>
      <charset val="204"/>
    </font>
    <font>
      <b/>
      <sz val="18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b/>
      <sz val="20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26"/>
      <color theme="4" tint="0.39997558519241921"/>
      <name val="Arial Black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double">
        <color theme="0"/>
      </left>
      <right/>
      <top style="double">
        <color theme="0"/>
      </top>
      <bottom style="double">
        <color theme="0"/>
      </bottom>
      <diagonal/>
    </border>
    <border>
      <left/>
      <right/>
      <top style="double">
        <color theme="0"/>
      </top>
      <bottom style="double">
        <color theme="0"/>
      </bottom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0"/>
      </top>
      <bottom/>
      <diagonal/>
    </border>
    <border>
      <left style="medium">
        <color theme="4" tint="0.79998168889431442"/>
      </left>
      <right/>
      <top style="medium">
        <color theme="4" tint="0.79998168889431442"/>
      </top>
      <bottom/>
      <diagonal/>
    </border>
    <border>
      <left/>
      <right/>
      <top style="medium">
        <color theme="4" tint="0.79998168889431442"/>
      </top>
      <bottom/>
      <diagonal/>
    </border>
    <border>
      <left/>
      <right style="medium">
        <color theme="4" tint="0.79998168889431442"/>
      </right>
      <top style="medium">
        <color theme="4" tint="0.79998168889431442"/>
      </top>
      <bottom/>
      <diagonal/>
    </border>
    <border>
      <left style="medium">
        <color theme="4" tint="0.79998168889431442"/>
      </left>
      <right/>
      <top/>
      <bottom/>
      <diagonal/>
    </border>
    <border>
      <left/>
      <right style="medium">
        <color theme="4" tint="0.79998168889431442"/>
      </right>
      <top/>
      <bottom/>
      <diagonal/>
    </border>
    <border>
      <left style="medium">
        <color theme="4" tint="0.79998168889431442"/>
      </left>
      <right/>
      <top/>
      <bottom style="medium">
        <color theme="4" tint="0.79998168889431442"/>
      </bottom>
      <diagonal/>
    </border>
    <border>
      <left/>
      <right/>
      <top/>
      <bottom style="medium">
        <color theme="4" tint="0.79998168889431442"/>
      </bottom>
      <diagonal/>
    </border>
    <border>
      <left/>
      <right style="medium">
        <color theme="4" tint="0.79998168889431442"/>
      </right>
      <top/>
      <bottom style="medium">
        <color theme="4" tint="0.79998168889431442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6">
    <xf numFmtId="0" fontId="0" fillId="0" borderId="0" xfId="0"/>
    <xf numFmtId="0" fontId="0" fillId="0" borderId="0" xfId="0" applyNumberFormat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3" xfId="0" applyBorder="1"/>
    <xf numFmtId="0" fontId="0" fillId="0" borderId="7" xfId="0" applyBorder="1"/>
    <xf numFmtId="0" fontId="0" fillId="0" borderId="5" xfId="0" applyBorder="1"/>
    <xf numFmtId="0" fontId="0" fillId="0" borderId="10" xfId="0" applyBorder="1"/>
    <xf numFmtId="0" fontId="0" fillId="0" borderId="8" xfId="0" applyBorder="1"/>
    <xf numFmtId="0" fontId="0" fillId="3" borderId="0" xfId="0" applyFill="1"/>
    <xf numFmtId="0" fontId="0" fillId="0" borderId="0" xfId="0" applyFill="1"/>
    <xf numFmtId="0" fontId="0" fillId="0" borderId="4" xfId="0" applyBorder="1"/>
    <xf numFmtId="0" fontId="0" fillId="0" borderId="6" xfId="0" applyBorder="1"/>
    <xf numFmtId="164" fontId="0" fillId="0" borderId="0" xfId="0" applyNumberFormat="1"/>
    <xf numFmtId="10" fontId="0" fillId="0" borderId="0" xfId="0" applyNumberFormat="1"/>
    <xf numFmtId="164" fontId="0" fillId="0" borderId="9" xfId="0" applyNumberFormat="1" applyBorder="1"/>
    <xf numFmtId="164" fontId="0" fillId="0" borderId="3" xfId="0" applyNumberFormat="1" applyBorder="1"/>
    <xf numFmtId="164" fontId="0" fillId="0" borderId="6" xfId="0" applyNumberFormat="1" applyBorder="1"/>
    <xf numFmtId="164" fontId="0" fillId="0" borderId="10" xfId="0" applyNumberFormat="1" applyBorder="1"/>
    <xf numFmtId="164" fontId="0" fillId="0" borderId="4" xfId="0" applyNumberFormat="1" applyBorder="1"/>
    <xf numFmtId="164" fontId="0" fillId="0" borderId="7" xfId="0" applyNumberFormat="1" applyBorder="1"/>
    <xf numFmtId="10" fontId="0" fillId="0" borderId="9" xfId="0" applyNumberFormat="1" applyBorder="1"/>
    <xf numFmtId="10" fontId="0" fillId="0" borderId="3" xfId="0" applyNumberFormat="1" applyBorder="1"/>
    <xf numFmtId="10" fontId="0" fillId="0" borderId="6" xfId="0" applyNumberFormat="1" applyBorder="1"/>
    <xf numFmtId="0" fontId="0" fillId="0" borderId="9" xfId="0" applyBorder="1"/>
    <xf numFmtId="10" fontId="0" fillId="0" borderId="10" xfId="0" applyNumberFormat="1" applyBorder="1"/>
    <xf numFmtId="10" fontId="0" fillId="0" borderId="7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164" fontId="0" fillId="0" borderId="13" xfId="0" applyNumberFormat="1" applyBorder="1"/>
    <xf numFmtId="10" fontId="0" fillId="0" borderId="11" xfId="0" applyNumberFormat="1" applyBorder="1"/>
    <xf numFmtId="0" fontId="0" fillId="0" borderId="14" xfId="0" applyNumberFormat="1" applyBorder="1"/>
    <xf numFmtId="0" fontId="0" fillId="0" borderId="15" xfId="0" applyNumberFormat="1" applyBorder="1"/>
    <xf numFmtId="164" fontId="0" fillId="0" borderId="15" xfId="0" applyNumberFormat="1" applyBorder="1"/>
    <xf numFmtId="10" fontId="0" fillId="0" borderId="16" xfId="0" applyNumberFormat="1" applyBorder="1"/>
    <xf numFmtId="0" fontId="0" fillId="0" borderId="17" xfId="0" applyNumberFormat="1" applyBorder="1"/>
    <xf numFmtId="0" fontId="0" fillId="0" borderId="18" xfId="0" applyNumberFormat="1" applyBorder="1"/>
    <xf numFmtId="164" fontId="0" fillId="0" borderId="18" xfId="0" applyNumberFormat="1" applyBorder="1"/>
    <xf numFmtId="10" fontId="0" fillId="0" borderId="19" xfId="0" applyNumberFormat="1" applyBorder="1"/>
    <xf numFmtId="0" fontId="0" fillId="0" borderId="20" xfId="0" applyNumberFormat="1" applyBorder="1"/>
    <xf numFmtId="10" fontId="0" fillId="0" borderId="21" xfId="0" applyNumberFormat="1" applyBorder="1"/>
    <xf numFmtId="0" fontId="0" fillId="0" borderId="22" xfId="0" applyNumberFormat="1" applyBorder="1"/>
    <xf numFmtId="0" fontId="0" fillId="0" borderId="23" xfId="0" applyNumberFormat="1" applyBorder="1"/>
    <xf numFmtId="164" fontId="0" fillId="0" borderId="23" xfId="0" applyNumberFormat="1" applyBorder="1"/>
    <xf numFmtId="10" fontId="0" fillId="0" borderId="24" xfId="0" applyNumberFormat="1" applyBorder="1"/>
    <xf numFmtId="0" fontId="0" fillId="0" borderId="2" xfId="0" applyBorder="1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164" fontId="2" fillId="2" borderId="0" xfId="0" applyNumberFormat="1" applyFont="1" applyFill="1" applyBorder="1"/>
    <xf numFmtId="0" fontId="2" fillId="2" borderId="0" xfId="0" applyNumberFormat="1" applyFont="1" applyFill="1" applyBorder="1"/>
    <xf numFmtId="164" fontId="2" fillId="2" borderId="25" xfId="0" applyNumberFormat="1" applyFont="1" applyFill="1" applyBorder="1"/>
    <xf numFmtId="0" fontId="2" fillId="2" borderId="27" xfId="0" applyNumberFormat="1" applyFont="1" applyFill="1" applyBorder="1"/>
    <xf numFmtId="0" fontId="2" fillId="2" borderId="26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0" fontId="9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9" fillId="4" borderId="0" xfId="0" applyFont="1" applyFill="1"/>
    <xf numFmtId="0" fontId="0" fillId="0" borderId="33" xfId="0" applyFill="1" applyBorder="1"/>
    <xf numFmtId="0" fontId="0" fillId="0" borderId="34" xfId="0" applyFill="1" applyBorder="1"/>
    <xf numFmtId="0" fontId="5" fillId="0" borderId="34" xfId="0" applyFont="1" applyFill="1" applyBorder="1"/>
    <xf numFmtId="0" fontId="0" fillId="0" borderId="35" xfId="0" applyFill="1" applyBorder="1"/>
    <xf numFmtId="0" fontId="0" fillId="3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/>
    <xf numFmtId="0" fontId="9" fillId="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0" fillId="5" borderId="36" xfId="0" applyFill="1" applyBorder="1"/>
    <xf numFmtId="0" fontId="0" fillId="5" borderId="0" xfId="0" applyFill="1" applyBorder="1"/>
    <xf numFmtId="0" fontId="6" fillId="5" borderId="0" xfId="1" quotePrefix="1" applyFill="1" applyBorder="1" applyAlignment="1">
      <alignment horizontal="center" vertical="center"/>
    </xf>
    <xf numFmtId="0" fontId="0" fillId="6" borderId="15" xfId="0" applyNumberFormat="1" applyFill="1" applyBorder="1"/>
    <xf numFmtId="0" fontId="0" fillId="6" borderId="3" xfId="0" applyNumberFormat="1" applyFill="1" applyBorder="1"/>
    <xf numFmtId="0" fontId="0" fillId="6" borderId="3" xfId="0" applyFill="1" applyBorder="1"/>
    <xf numFmtId="0" fontId="0" fillId="7" borderId="3" xfId="0" applyNumberFormat="1" applyFill="1" applyBorder="1"/>
    <xf numFmtId="0" fontId="0" fillId="7" borderId="3" xfId="0" applyFill="1" applyBorder="1"/>
    <xf numFmtId="0" fontId="0" fillId="8" borderId="15" xfId="0" applyNumberFormat="1" applyFill="1" applyBorder="1"/>
    <xf numFmtId="0" fontId="0" fillId="8" borderId="3" xfId="0" applyNumberFormat="1" applyFill="1" applyBorder="1"/>
    <xf numFmtId="0" fontId="0" fillId="8" borderId="6" xfId="0" applyFill="1" applyBorder="1"/>
    <xf numFmtId="169" fontId="2" fillId="2" borderId="0" xfId="0" applyNumberFormat="1" applyFont="1" applyFill="1"/>
    <xf numFmtId="169" fontId="0" fillId="0" borderId="0" xfId="0" applyNumberFormat="1"/>
    <xf numFmtId="169" fontId="0" fillId="5" borderId="0" xfId="0" applyNumberFormat="1" applyFill="1"/>
    <xf numFmtId="0" fontId="6" fillId="5" borderId="0" xfId="1" applyFill="1" applyBorder="1" applyAlignment="1">
      <alignment horizontal="center" vertical="center"/>
    </xf>
    <xf numFmtId="0" fontId="7" fillId="5" borderId="0" xfId="0" applyFont="1" applyFill="1" applyBorder="1" applyAlignment="1">
      <alignment vertical="center" wrapText="1"/>
    </xf>
    <xf numFmtId="0" fontId="11" fillId="5" borderId="0" xfId="0" applyFont="1" applyFill="1" applyBorder="1"/>
    <xf numFmtId="0" fontId="0" fillId="5" borderId="37" xfId="0" applyFill="1" applyBorder="1"/>
    <xf numFmtId="0" fontId="11" fillId="5" borderId="38" xfId="0" applyFont="1" applyFill="1" applyBorder="1"/>
    <xf numFmtId="0" fontId="0" fillId="5" borderId="38" xfId="0" applyFill="1" applyBorder="1"/>
    <xf numFmtId="0" fontId="0" fillId="5" borderId="39" xfId="0" applyFill="1" applyBorder="1"/>
    <xf numFmtId="0" fontId="0" fillId="5" borderId="40" xfId="0" applyFill="1" applyBorder="1" applyAlignment="1">
      <alignment horizontal="center" vertical="center"/>
    </xf>
    <xf numFmtId="0" fontId="0" fillId="5" borderId="0" xfId="0" applyFill="1" applyBorder="1" applyAlignment="1">
      <alignment horizontal="left" vertical="center" wrapText="1"/>
    </xf>
    <xf numFmtId="0" fontId="0" fillId="5" borderId="41" xfId="0" applyFill="1" applyBorder="1"/>
    <xf numFmtId="16" fontId="0" fillId="5" borderId="40" xfId="0" applyNumberFormat="1" applyFill="1" applyBorder="1" applyAlignment="1">
      <alignment horizontal="center" vertical="center"/>
    </xf>
    <xf numFmtId="0" fontId="0" fillId="5" borderId="40" xfId="0" applyFill="1" applyBorder="1"/>
    <xf numFmtId="0" fontId="0" fillId="5" borderId="43" xfId="0" applyFill="1" applyBorder="1"/>
    <xf numFmtId="0" fontId="0" fillId="5" borderId="44" xfId="0" applyFill="1" applyBorder="1"/>
    <xf numFmtId="0" fontId="7" fillId="5" borderId="0" xfId="0" applyFont="1" applyFill="1" applyBorder="1" applyAlignment="1">
      <alignment horizontal="left" vertical="center" wrapText="1"/>
    </xf>
    <xf numFmtId="0" fontId="0" fillId="0" borderId="36" xfId="0" applyFill="1" applyBorder="1"/>
    <xf numFmtId="0" fontId="0" fillId="0" borderId="28" xfId="0" applyFill="1" applyBorder="1"/>
    <xf numFmtId="0" fontId="0" fillId="0" borderId="0" xfId="0" applyFill="1" applyBorder="1"/>
    <xf numFmtId="0" fontId="0" fillId="0" borderId="30" xfId="0" applyFill="1" applyBorder="1"/>
    <xf numFmtId="0" fontId="0" fillId="0" borderId="1" xfId="0" applyFill="1" applyBorder="1"/>
    <xf numFmtId="0" fontId="0" fillId="0" borderId="32" xfId="0" applyFill="1" applyBorder="1"/>
    <xf numFmtId="0" fontId="10" fillId="5" borderId="0" xfId="0" applyFont="1" applyFill="1" applyBorder="1" applyAlignment="1">
      <alignment vertical="center" wrapText="1"/>
    </xf>
    <xf numFmtId="0" fontId="10" fillId="5" borderId="43" xfId="0" applyFont="1" applyFill="1" applyBorder="1" applyAlignment="1">
      <alignment vertical="center" wrapText="1"/>
    </xf>
    <xf numFmtId="0" fontId="0" fillId="5" borderId="42" xfId="0" applyFill="1" applyBorder="1" applyAlignment="1">
      <alignment horizontal="center" vertical="center"/>
    </xf>
    <xf numFmtId="0" fontId="0" fillId="0" borderId="29" xfId="0" applyFill="1" applyBorder="1"/>
    <xf numFmtId="0" fontId="0" fillId="0" borderId="31" xfId="0" applyFill="1" applyBorder="1"/>
  </cellXfs>
  <cellStyles count="2">
    <cellStyle name="Гиперссылка" xfId="1" builtinId="8"/>
    <cellStyle name="Обычный" xfId="0" builtinId="0"/>
  </cellStyles>
  <dxfs count="6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14" formatCode="0.00%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14" formatCode="0.00%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164" formatCode="[$$-409]#,##0.0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numFmt numFmtId="164" formatCode="[$$-409]#,##0.0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[$$-409]#,##0.0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[$$-409]#,##0.0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14" formatCode="0.00%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164" formatCode="[$$-409]#,##0.0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164" formatCode="[$$-409]#,##0.0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164" formatCode="[$$-409]#,##0.0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164" formatCode="[$$-409]#,##0.0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164" formatCode="[$$-409]#,##0.0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</dxfs>
  <tableStyles count="1" defaultTableStyle="Стиль таблицы 1" defaultPivotStyle="PivotStyleLight16">
    <tableStyle name="Стиль таблицы 1" pivot="0" count="6" xr9:uid="{F6D19466-F3B4-4E9A-AB46-9C4843089E15}">
      <tableStyleElement type="wholeTable" dxfId="67"/>
      <tableStyleElement type="headerRow" dxfId="66"/>
      <tableStyleElement type="totalRow" dxfId="65"/>
      <tableStyleElement type="secondRowStripe" dxfId="64"/>
      <tableStyleElement type="secondColumnStripe" dxfId="63"/>
    </tableStyle>
  </tableStyles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 sz="1200"/>
              <a:t> СРАВНЕНИЕ</a:t>
            </a:r>
            <a:r>
              <a:rPr lang="ru-RU" sz="1200" baseline="0"/>
              <a:t> СТОИМОСТИ ТОВАРов СО СРЕДНЕЙ ПО КАтЕГОРИИ</a:t>
            </a:r>
            <a:endParaRPr lang="ru-RU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1"/>
          <c:order val="0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'7_AVG_MED'!$C$47:$C$49</c:f>
              <c:strCache>
                <c:ptCount val="3"/>
                <c:pt idx="0">
                  <c:v>AVG &gt;</c:v>
                </c:pt>
                <c:pt idx="1">
                  <c:v>AVG =</c:v>
                </c:pt>
                <c:pt idx="2">
                  <c:v>AVG &lt;</c:v>
                </c:pt>
              </c:strCache>
            </c:strRef>
          </c:cat>
          <c:val>
            <c:numRef>
              <c:f>'7_AVG_MED'!$D$47:$D$49</c:f>
              <c:numCache>
                <c:formatCode>General</c:formatCode>
                <c:ptCount val="3"/>
                <c:pt idx="0">
                  <c:v>14</c:v>
                </c:pt>
                <c:pt idx="1">
                  <c:v>5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363-4DA0-AA52-430347059EFD}"/>
            </c:ext>
          </c:extLst>
        </c:ser>
        <c:ser>
          <c:idx val="0"/>
          <c:order val="1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363-4DA0-AA52-430347059EFD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363-4DA0-AA52-430347059EFD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363-4DA0-AA52-430347059E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'7_AVG_MED'!$C$47:$C$49</c:f>
              <c:strCache>
                <c:ptCount val="3"/>
                <c:pt idx="0">
                  <c:v>AVG &gt;</c:v>
                </c:pt>
                <c:pt idx="1">
                  <c:v>AVG =</c:v>
                </c:pt>
                <c:pt idx="2">
                  <c:v>AVG &lt;</c:v>
                </c:pt>
              </c:strCache>
            </c:strRef>
          </c:cat>
          <c:val>
            <c:numRef>
              <c:f>'7_AVG_MED'!$D$47:$D$49</c:f>
              <c:numCache>
                <c:formatCode>General</c:formatCode>
                <c:ptCount val="3"/>
                <c:pt idx="0">
                  <c:v>14</c:v>
                </c:pt>
                <c:pt idx="1">
                  <c:v>5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363-4DA0-AA52-430347059EFD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 sz="1200" b="1" i="0" u="none" strike="noStrike" kern="1200" cap="all" spc="100" normalizeH="0" baseline="0">
                <a:solidFill>
                  <a:sysClr val="window" lastClr="FFFFFF"/>
                </a:solidFill>
              </a:rPr>
              <a:t>СРАВНЕНИЕ СТОИМОСТИ ТОВАров с медианной ПО КАтЕГОРИИ</a:t>
            </a:r>
            <a:endParaRPr lang="ru-RU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10-4208-884A-89B1C13E2ABB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10-4208-884A-89B1C13E2ABB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410-4208-884A-89B1C13E2A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'7_AVG_MED'!$E$47:$E$49</c:f>
              <c:strCache>
                <c:ptCount val="3"/>
                <c:pt idx="0">
                  <c:v>MED &gt;</c:v>
                </c:pt>
                <c:pt idx="1">
                  <c:v>MED =</c:v>
                </c:pt>
                <c:pt idx="2">
                  <c:v>MED &lt;</c:v>
                </c:pt>
              </c:strCache>
            </c:strRef>
          </c:cat>
          <c:val>
            <c:numRef>
              <c:f>'7_AVG_MED'!$F$47:$F$49</c:f>
              <c:numCache>
                <c:formatCode>General</c:formatCode>
                <c:ptCount val="3"/>
                <c:pt idx="0">
                  <c:v>16</c:v>
                </c:pt>
                <c:pt idx="1">
                  <c:v>13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10-4208-884A-89B1C13E2ABB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[results.xlsx]6_revenue_percent!Сводная таблица10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рейтинг</a:t>
            </a:r>
            <a:r>
              <a:rPr lang="ru-RU" baseline="0"/>
              <a:t> категорий по выручке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D7D31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D7D31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'6_revenue_percent'!$H$1</c:f>
              <c:strCache>
                <c:ptCount val="1"/>
                <c:pt idx="0">
                  <c:v>Итог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'6_revenue_percent'!$G$2:$G$16</c:f>
              <c:strCache>
                <c:ptCount val="14"/>
                <c:pt idx="0">
                  <c:v>Beverages</c:v>
                </c:pt>
                <c:pt idx="1">
                  <c:v>Jams, Preserves</c:v>
                </c:pt>
                <c:pt idx="2">
                  <c:v>Dried Fruit &amp; Nuts</c:v>
                </c:pt>
                <c:pt idx="3">
                  <c:v>Dairy products</c:v>
                </c:pt>
                <c:pt idx="4">
                  <c:v>Soups</c:v>
                </c:pt>
                <c:pt idx="5">
                  <c:v>Candy</c:v>
                </c:pt>
                <c:pt idx="6">
                  <c:v>Pasta</c:v>
                </c:pt>
                <c:pt idx="7">
                  <c:v>Sauces</c:v>
                </c:pt>
                <c:pt idx="8">
                  <c:v>Canned Fruit &amp; Vegetables</c:v>
                </c:pt>
                <c:pt idx="9">
                  <c:v>Canned Meat</c:v>
                </c:pt>
                <c:pt idx="10">
                  <c:v>Condiments</c:v>
                </c:pt>
                <c:pt idx="11">
                  <c:v>Baked Goods &amp; Mixes</c:v>
                </c:pt>
                <c:pt idx="12">
                  <c:v>Oil</c:v>
                </c:pt>
                <c:pt idx="13">
                  <c:v>Grains</c:v>
                </c:pt>
              </c:strCache>
            </c:strRef>
          </c:cat>
          <c:val>
            <c:numRef>
              <c:f>'6_revenue_percent'!$H$2:$H$16</c:f>
              <c:numCache>
                <c:formatCode>[$$-409]#\ ##0.00</c:formatCode>
                <c:ptCount val="14"/>
                <c:pt idx="0">
                  <c:v>22636</c:v>
                </c:pt>
                <c:pt idx="1">
                  <c:v>5490</c:v>
                </c:pt>
                <c:pt idx="2">
                  <c:v>3660</c:v>
                </c:pt>
                <c:pt idx="3">
                  <c:v>3132</c:v>
                </c:pt>
                <c:pt idx="4">
                  <c:v>2798.5</c:v>
                </c:pt>
                <c:pt idx="5">
                  <c:v>2550</c:v>
                </c:pt>
                <c:pt idx="6">
                  <c:v>1950</c:v>
                </c:pt>
                <c:pt idx="7">
                  <c:v>1800</c:v>
                </c:pt>
                <c:pt idx="8">
                  <c:v>1560</c:v>
                </c:pt>
                <c:pt idx="9">
                  <c:v>1472</c:v>
                </c:pt>
                <c:pt idx="10">
                  <c:v>1160</c:v>
                </c:pt>
                <c:pt idx="11">
                  <c:v>890</c:v>
                </c:pt>
                <c:pt idx="12">
                  <c:v>533.75</c:v>
                </c:pt>
                <c:pt idx="13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1-4867-8C60-989B8FCE3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834559256"/>
        <c:axId val="1834564888"/>
      </c:barChart>
      <c:catAx>
        <c:axId val="1834559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4564888"/>
        <c:crosses val="autoZero"/>
        <c:auto val="1"/>
        <c:lblAlgn val="ctr"/>
        <c:lblOffset val="100"/>
        <c:noMultiLvlLbl val="0"/>
      </c:catAx>
      <c:valAx>
        <c:axId val="1834564888"/>
        <c:scaling>
          <c:orientation val="minMax"/>
        </c:scaling>
        <c:delete val="0"/>
        <c:axPos val="l"/>
        <c:numFmt formatCode="[$$-409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455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[results.xlsx]10_ABC!Сводная таблица34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'10_ABC'!$I$1:$I$2</c:f>
              <c:strCache>
                <c:ptCount val="1"/>
                <c:pt idx="0">
                  <c:v>A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'10_ABC'!$H$3:$H$17</c:f>
              <c:strCache>
                <c:ptCount val="14"/>
                <c:pt idx="0">
                  <c:v>Baked Goods &amp; Mixes</c:v>
                </c:pt>
                <c:pt idx="1">
                  <c:v>Beverages</c:v>
                </c:pt>
                <c:pt idx="2">
                  <c:v>Candy</c:v>
                </c:pt>
                <c:pt idx="3">
                  <c:v>Canned Fruit &amp; Vegetables</c:v>
                </c:pt>
                <c:pt idx="4">
                  <c:v>Canned Meat</c:v>
                </c:pt>
                <c:pt idx="5">
                  <c:v>Condiments</c:v>
                </c:pt>
                <c:pt idx="6">
                  <c:v>Dairy products</c:v>
                </c:pt>
                <c:pt idx="7">
                  <c:v>Dried Fruit &amp; Nuts</c:v>
                </c:pt>
                <c:pt idx="8">
                  <c:v>Grains</c:v>
                </c:pt>
                <c:pt idx="9">
                  <c:v>Jams, Preserves</c:v>
                </c:pt>
                <c:pt idx="10">
                  <c:v>Oil</c:v>
                </c:pt>
                <c:pt idx="11">
                  <c:v>Pasta</c:v>
                </c:pt>
                <c:pt idx="12">
                  <c:v>Sauces</c:v>
                </c:pt>
                <c:pt idx="13">
                  <c:v>Soups</c:v>
                </c:pt>
              </c:strCache>
            </c:strRef>
          </c:cat>
          <c:val>
            <c:numRef>
              <c:f>'10_ABC'!$I$3:$I$17</c:f>
              <c:numCache>
                <c:formatCode>General</c:formatCode>
                <c:ptCount val="14"/>
                <c:pt idx="1">
                  <c:v>2</c:v>
                </c:pt>
                <c:pt idx="2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2</c:v>
                </c:pt>
                <c:pt idx="11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7-406A-851B-5370AEE87C1E}"/>
            </c:ext>
          </c:extLst>
        </c:ser>
        <c:ser>
          <c:idx val="1"/>
          <c:order val="1"/>
          <c:tx>
            <c:strRef>
              <c:f>'10_ABC'!$J$1:$J$2</c:f>
              <c:strCache>
                <c:ptCount val="1"/>
                <c:pt idx="0">
                  <c:v>B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'10_ABC'!$H$3:$H$17</c:f>
              <c:strCache>
                <c:ptCount val="14"/>
                <c:pt idx="0">
                  <c:v>Baked Goods &amp; Mixes</c:v>
                </c:pt>
                <c:pt idx="1">
                  <c:v>Beverages</c:v>
                </c:pt>
                <c:pt idx="2">
                  <c:v>Candy</c:v>
                </c:pt>
                <c:pt idx="3">
                  <c:v>Canned Fruit &amp; Vegetables</c:v>
                </c:pt>
                <c:pt idx="4">
                  <c:v>Canned Meat</c:v>
                </c:pt>
                <c:pt idx="5">
                  <c:v>Condiments</c:v>
                </c:pt>
                <c:pt idx="6">
                  <c:v>Dairy products</c:v>
                </c:pt>
                <c:pt idx="7">
                  <c:v>Dried Fruit &amp; Nuts</c:v>
                </c:pt>
                <c:pt idx="8">
                  <c:v>Grains</c:v>
                </c:pt>
                <c:pt idx="9">
                  <c:v>Jams, Preserves</c:v>
                </c:pt>
                <c:pt idx="10">
                  <c:v>Oil</c:v>
                </c:pt>
                <c:pt idx="11">
                  <c:v>Pasta</c:v>
                </c:pt>
                <c:pt idx="12">
                  <c:v>Sauces</c:v>
                </c:pt>
                <c:pt idx="13">
                  <c:v>Soups</c:v>
                </c:pt>
              </c:strCache>
            </c:strRef>
          </c:cat>
          <c:val>
            <c:numRef>
              <c:f>'10_ABC'!$J$3:$J$17</c:f>
              <c:numCache>
                <c:formatCode>General</c:formatCode>
                <c:ptCount val="14"/>
                <c:pt idx="0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57-406A-851B-5370AEE87C1E}"/>
            </c:ext>
          </c:extLst>
        </c:ser>
        <c:ser>
          <c:idx val="2"/>
          <c:order val="2"/>
          <c:tx>
            <c:strRef>
              <c:f>'10_ABC'!$K$1:$K$2</c:f>
              <c:strCache>
                <c:ptCount val="1"/>
                <c:pt idx="0">
                  <c:v>C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'10_ABC'!$H$3:$H$17</c:f>
              <c:strCache>
                <c:ptCount val="14"/>
                <c:pt idx="0">
                  <c:v>Baked Goods &amp; Mixes</c:v>
                </c:pt>
                <c:pt idx="1">
                  <c:v>Beverages</c:v>
                </c:pt>
                <c:pt idx="2">
                  <c:v>Candy</c:v>
                </c:pt>
                <c:pt idx="3">
                  <c:v>Canned Fruit &amp; Vegetables</c:v>
                </c:pt>
                <c:pt idx="4">
                  <c:v>Canned Meat</c:v>
                </c:pt>
                <c:pt idx="5">
                  <c:v>Condiments</c:v>
                </c:pt>
                <c:pt idx="6">
                  <c:v>Dairy products</c:v>
                </c:pt>
                <c:pt idx="7">
                  <c:v>Dried Fruit &amp; Nuts</c:v>
                </c:pt>
                <c:pt idx="8">
                  <c:v>Grains</c:v>
                </c:pt>
                <c:pt idx="9">
                  <c:v>Jams, Preserves</c:v>
                </c:pt>
                <c:pt idx="10">
                  <c:v>Oil</c:v>
                </c:pt>
                <c:pt idx="11">
                  <c:v>Pasta</c:v>
                </c:pt>
                <c:pt idx="12">
                  <c:v>Sauces</c:v>
                </c:pt>
                <c:pt idx="13">
                  <c:v>Soups</c:v>
                </c:pt>
              </c:strCache>
            </c:strRef>
          </c:cat>
          <c:val>
            <c:numRef>
              <c:f>'10_ABC'!$K$3:$K$17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5">
                  <c:v>1</c:v>
                </c:pt>
                <c:pt idx="7">
                  <c:v>2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57-406A-851B-5370AEE87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814191656"/>
        <c:axId val="1814192360"/>
      </c:barChart>
      <c:catAx>
        <c:axId val="18141916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4192360"/>
        <c:crosses val="autoZero"/>
        <c:auto val="1"/>
        <c:lblAlgn val="ctr"/>
        <c:lblOffset val="100"/>
        <c:noMultiLvlLbl val="0"/>
      </c:catAx>
      <c:valAx>
        <c:axId val="18141923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419165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4472C4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выручка</a:t>
            </a:r>
            <a:r>
              <a:rPr lang="ru-RU" baseline="0"/>
              <a:t> по</a:t>
            </a:r>
            <a:endParaRPr lang="en-US" baseline="0"/>
          </a:p>
          <a:p>
            <a:pPr>
              <a:defRPr/>
            </a:pPr>
            <a:r>
              <a:rPr lang="ru-RU" baseline="0"/>
              <a:t> классам </a:t>
            </a:r>
            <a:r>
              <a:rPr lang="en-US" baseline="0"/>
              <a:t>abc</a:t>
            </a:r>
            <a:endParaRPr lang="ru-RU"/>
          </a:p>
        </c:rich>
      </c:tx>
      <c:layout>
        <c:manualLayout>
          <c:xMode val="edge"/>
          <c:yMode val="edge"/>
          <c:x val="6.0216559200554895E-2"/>
          <c:y val="0.144594979150554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56522721896736283"/>
          <c:y val="0.19780945416724263"/>
          <c:w val="0.33822454933061746"/>
          <c:h val="0.67819253761178711"/>
        </c:manualLayout>
      </c:layout>
      <c:pieChart>
        <c:varyColors val="1"/>
        <c:ser>
          <c:idx val="0"/>
          <c:order val="0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3D-4F9B-97B0-318DD8F65921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3D-4F9B-97B0-318DD8F65921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3D-4F9B-97B0-318DD8F659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'10_ABC'!$H$20:$H$22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'10_ABC'!$I$20:$I$22</c:f>
              <c:numCache>
                <c:formatCode>_-[$$-409]* #\ ##0.00_ ;_-[$$-409]* \-#\ ##0.00\ ;_-[$$-409]* "-"??_ ;_-@_ </c:formatCode>
                <c:ptCount val="3"/>
                <c:pt idx="0">
                  <c:v>39808.5</c:v>
                </c:pt>
                <c:pt idx="1">
                  <c:v>7382</c:v>
                </c:pt>
                <c:pt idx="2">
                  <c:v>2721.75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3D-4F9B-97B0-318DD8F65921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вклад</a:t>
            </a:r>
            <a:r>
              <a:rPr lang="ru-RU" baseline="0"/>
              <a:t> в выручку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ubbleChart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accent1">
                  <a:lumMod val="60000"/>
                  <a:lumOff val="40000"/>
                </a:schemeClr>
              </a:bgClr>
            </a:pattFill>
            <a:ln w="19050">
              <a:solidFill>
                <a:schemeClr val="lt1">
                  <a:alpha val="7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>
                    <a:alpha val="7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0C-4616-9CB8-691CBE8921E2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 w="19050">
                <a:solidFill>
                  <a:schemeClr val="lt1">
                    <a:alpha val="7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D0C-4616-9CB8-691CBE8921E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 w="19050">
                <a:solidFill>
                  <a:schemeClr val="lt1">
                    <a:alpha val="7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0C-4616-9CB8-691CBE8921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'10_ABC'!$M$2:$M$25</c:f>
              <c:numCache>
                <c:formatCode>_-[$$-409]* #\ ##0.00_ ;_-[$$-409]* \-#\ ##0.00\ ;_-[$$-409]* "-"??_ ;_-@_ </c:formatCode>
                <c:ptCount val="24"/>
                <c:pt idx="0">
                  <c:v>46</c:v>
                </c:pt>
                <c:pt idx="1">
                  <c:v>14</c:v>
                </c:pt>
                <c:pt idx="2">
                  <c:v>81</c:v>
                </c:pt>
                <c:pt idx="3">
                  <c:v>34.799999999999997</c:v>
                </c:pt>
                <c:pt idx="4">
                  <c:v>9.65</c:v>
                </c:pt>
                <c:pt idx="5">
                  <c:v>12.75</c:v>
                </c:pt>
                <c:pt idx="6">
                  <c:v>25</c:v>
                </c:pt>
                <c:pt idx="7">
                  <c:v>53</c:v>
                </c:pt>
                <c:pt idx="8">
                  <c:v>19.5</c:v>
                </c:pt>
                <c:pt idx="9">
                  <c:v>40</c:v>
                </c:pt>
                <c:pt idx="10">
                  <c:v>39</c:v>
                </c:pt>
                <c:pt idx="11">
                  <c:v>18.399999999999999</c:v>
                </c:pt>
                <c:pt idx="12">
                  <c:v>30</c:v>
                </c:pt>
                <c:pt idx="13">
                  <c:v>9.1999999999999993</c:v>
                </c:pt>
                <c:pt idx="14">
                  <c:v>22</c:v>
                </c:pt>
                <c:pt idx="15">
                  <c:v>2.99</c:v>
                </c:pt>
                <c:pt idx="16">
                  <c:v>21.35</c:v>
                </c:pt>
                <c:pt idx="17">
                  <c:v>10</c:v>
                </c:pt>
                <c:pt idx="18">
                  <c:v>7</c:v>
                </c:pt>
                <c:pt idx="19">
                  <c:v>18</c:v>
                </c:pt>
                <c:pt idx="20">
                  <c:v>10</c:v>
                </c:pt>
                <c:pt idx="21">
                  <c:v>10</c:v>
                </c:pt>
                <c:pt idx="22">
                  <c:v>3.5</c:v>
                </c:pt>
                <c:pt idx="23">
                  <c:v>38</c:v>
                </c:pt>
              </c:numCache>
            </c:numRef>
          </c:xVal>
          <c:yVal>
            <c:numRef>
              <c:f>'10_ABC'!$C$2:$C$25</c:f>
              <c:numCache>
                <c:formatCode>[$$-409]#\ ##0.00</c:formatCode>
                <c:ptCount val="24"/>
                <c:pt idx="0">
                  <c:v>14950</c:v>
                </c:pt>
                <c:pt idx="1">
                  <c:v>6818</c:v>
                </c:pt>
                <c:pt idx="2">
                  <c:v>3240</c:v>
                </c:pt>
                <c:pt idx="3">
                  <c:v>3132</c:v>
                </c:pt>
                <c:pt idx="4">
                  <c:v>2798.5</c:v>
                </c:pt>
                <c:pt idx="5">
                  <c:v>2550</c:v>
                </c:pt>
                <c:pt idx="6">
                  <c:v>2250</c:v>
                </c:pt>
                <c:pt idx="7">
                  <c:v>2120</c:v>
                </c:pt>
                <c:pt idx="8">
                  <c:v>1950</c:v>
                </c:pt>
                <c:pt idx="9">
                  <c:v>1800</c:v>
                </c:pt>
                <c:pt idx="10">
                  <c:v>1560</c:v>
                </c:pt>
                <c:pt idx="11">
                  <c:v>1472</c:v>
                </c:pt>
                <c:pt idx="12">
                  <c:v>1200</c:v>
                </c:pt>
                <c:pt idx="13">
                  <c:v>690</c:v>
                </c:pt>
                <c:pt idx="14">
                  <c:v>660</c:v>
                </c:pt>
                <c:pt idx="15">
                  <c:v>598</c:v>
                </c:pt>
                <c:pt idx="16">
                  <c:v>533.75</c:v>
                </c:pt>
                <c:pt idx="17">
                  <c:v>500</c:v>
                </c:pt>
                <c:pt idx="18">
                  <c:v>280</c:v>
                </c:pt>
                <c:pt idx="19">
                  <c:v>270</c:v>
                </c:pt>
                <c:pt idx="20">
                  <c:v>200</c:v>
                </c:pt>
                <c:pt idx="21">
                  <c:v>200</c:v>
                </c:pt>
                <c:pt idx="22">
                  <c:v>140</c:v>
                </c:pt>
                <c:pt idx="23">
                  <c:v>0</c:v>
                </c:pt>
              </c:numCache>
            </c:numRef>
          </c:yVal>
          <c:bubbleSize>
            <c:numRef>
              <c:f>'10_ABC'!$D$2:$D$25</c:f>
              <c:numCache>
                <c:formatCode>0.00%</c:formatCode>
                <c:ptCount val="24"/>
                <c:pt idx="0">
                  <c:v>0.29949999999999999</c:v>
                </c:pt>
                <c:pt idx="1">
                  <c:v>0.1366</c:v>
                </c:pt>
                <c:pt idx="2">
                  <c:v>6.4899999999999999E-2</c:v>
                </c:pt>
                <c:pt idx="3">
                  <c:v>6.2799999999999995E-2</c:v>
                </c:pt>
                <c:pt idx="4">
                  <c:v>5.6099999999999997E-2</c:v>
                </c:pt>
                <c:pt idx="5">
                  <c:v>5.11E-2</c:v>
                </c:pt>
                <c:pt idx="6">
                  <c:v>4.5100000000000001E-2</c:v>
                </c:pt>
                <c:pt idx="7">
                  <c:v>4.2500000000000003E-2</c:v>
                </c:pt>
                <c:pt idx="8">
                  <c:v>3.9100000000000003E-2</c:v>
                </c:pt>
                <c:pt idx="9">
                  <c:v>3.61E-2</c:v>
                </c:pt>
                <c:pt idx="10">
                  <c:v>3.1300000000000001E-2</c:v>
                </c:pt>
                <c:pt idx="11">
                  <c:v>2.9499999999999998E-2</c:v>
                </c:pt>
                <c:pt idx="12">
                  <c:v>2.4E-2</c:v>
                </c:pt>
                <c:pt idx="13">
                  <c:v>1.38E-2</c:v>
                </c:pt>
                <c:pt idx="14">
                  <c:v>1.32E-2</c:v>
                </c:pt>
                <c:pt idx="15">
                  <c:v>1.2E-2</c:v>
                </c:pt>
                <c:pt idx="16">
                  <c:v>1.0699999999999999E-2</c:v>
                </c:pt>
                <c:pt idx="17">
                  <c:v>0.01</c:v>
                </c:pt>
                <c:pt idx="18">
                  <c:v>5.5999999999999999E-3</c:v>
                </c:pt>
                <c:pt idx="19">
                  <c:v>5.4000000000000003E-3</c:v>
                </c:pt>
                <c:pt idx="20">
                  <c:v>4.0000000000000001E-3</c:v>
                </c:pt>
                <c:pt idx="21">
                  <c:v>4.0000000000000001E-3</c:v>
                </c:pt>
                <c:pt idx="22">
                  <c:v>2.8E-3</c:v>
                </c:pt>
                <c:pt idx="23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CD0C-4616-9CB8-691CBE8921E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834564184"/>
        <c:axId val="1834572984"/>
      </c:bubbleChart>
      <c:valAx>
        <c:axId val="1834564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4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 w="12700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4572984"/>
        <c:crosses val="autoZero"/>
        <c:crossBetween val="midCat"/>
      </c:valAx>
      <c:valAx>
        <c:axId val="1834572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4000"/>
                </a:schemeClr>
              </a:solidFill>
              <a:round/>
            </a:ln>
            <a:effectLst/>
          </c:spPr>
        </c:majorGridlines>
        <c:numFmt formatCode="[$$-409]#\ ##0.00" sourceLinked="1"/>
        <c:majorTickMark val="none"/>
        <c:minorTickMark val="none"/>
        <c:tickLblPos val="nextTo"/>
        <c:spPr>
          <a:noFill/>
          <a:ln>
            <a:solidFill>
              <a:schemeClr val="lt1">
                <a:alpha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4564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</cx:chartData>
  <cx:chart>
    <cx:title pos="t" align="ctr" overlay="0">
      <cx:tx>
        <cx:txData>
          <cx:v>Диаграма парето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500" b="1" i="0" u="none" strike="noStrike" cap="all" spc="100" baseline="0">
              <a:solidFill>
                <a:sysClr val="window" lastClr="FFFFFF"/>
              </a:solidFill>
              <a:latin typeface="Calibri" panose="020F0502020204030204"/>
            </a:rPr>
            <a:t>Диаграма парето</a:t>
          </a:r>
        </a:p>
      </cx:txPr>
    </cx:title>
    <cx:plotArea>
      <cx:plotAreaRegion>
        <cx:series layoutId="clusteredColumn" uniqueId="{C146F152-D7E4-4FC2-A2D9-88DDDCDBD62B}" formatIdx="0">
          <cx:tx>
            <cx:txData>
              <cx:f>_xlchart.v1.6</cx:f>
              <cx:v>revenue</cx:v>
            </cx:txData>
          </cx:tx>
          <cx:dataPt idx="0">
            <cx:spPr>
              <a:solidFill>
                <a:srgbClr val="FF0000"/>
              </a:solidFill>
            </cx:spPr>
          </cx:dataPt>
          <cx:dataPt idx="1">
            <cx:spPr>
              <a:solidFill>
                <a:srgbClr val="FFC000"/>
              </a:solidFill>
            </cx:spPr>
          </cx:dataPt>
          <cx:dataPt idx="2">
            <cx:spPr>
              <a:solidFill>
                <a:srgbClr val="00B050"/>
              </a:solidFill>
            </cx:spPr>
          </cx:dataPt>
          <cx:dataId val="0"/>
          <cx:layoutPr>
            <cx:aggregation/>
          </cx:layoutPr>
          <cx:axisId val="1"/>
        </cx:series>
        <cx:series layoutId="paretoLine" ownerIdx="0" uniqueId="{FD5F8D28-643E-4C4F-895C-47BBA781C4E1}" formatIdx="1">
          <cx:axisId val="2"/>
        </cx:series>
        <cx:series layoutId="clusteredColumn" hidden="1" uniqueId="{1C5D50B3-B429-4BD1-8C97-492D442D70A8}" formatIdx="2">
          <cx:tx>
            <cx:txData>
              <cx:f>_xlchart.v1.8</cx:f>
              <cx:v>cumulative_share_percent</cx:v>
            </cx:txData>
          </cx:tx>
          <cx:dataId val="1"/>
          <cx:layoutPr>
            <cx:aggregation/>
          </cx:layoutPr>
          <cx:axisId val="1"/>
        </cx:series>
        <cx:series layoutId="paretoLine" ownerIdx="2" uniqueId="{5DCDF31A-8E51-4D0B-B1C8-EC4A00CFC7D4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7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/>
    <cs:fillRef idx="0"/>
    <cs:effectRef idx="0"/>
    <cs:fontRef idx="minor">
      <a:schemeClr val="lt1"/>
    </cs:fontRef>
    <cs:spPr>
      <a:ln w="12700">
        <a:solidFill>
          <a:schemeClr val="lt1"/>
        </a:solidFill>
      </a:ln>
    </cs:spPr>
    <cs:defRPr sz="900" b="1" kern="1200"/>
  </cs:categoryAxis>
  <cs:chartArea>
    <cs:lnRef idx="0">
      <cs:styleClr val="0"/>
    </cs:lnRef>
    <cs:fillRef idx="0">
      <cs:styleClr val="0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60000"/>
            <a:lumOff val="40000"/>
          </a:schemeClr>
        </a:bgClr>
      </a:pattFill>
      <a:ln w="19050">
        <a:solidFill>
          <a:schemeClr val="lt1">
            <a:alpha val="7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60000"/>
            <a:lumOff val="40000"/>
          </a:schemeClr>
        </a:bgClr>
      </a:pattFill>
      <a:ln w="19050">
        <a:solidFill>
          <a:schemeClr val="lt1">
            <a:alpha val="70000"/>
          </a:schemeClr>
        </a:solidFill>
      </a:ln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alpha val="24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alpha val="24000"/>
            <a:lumOff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spPr>
      <a:ln>
        <a:solidFill>
          <a:schemeClr val="lt1">
            <a:alpha val="50000"/>
          </a:schemeClr>
        </a:solidFill>
        <a:round/>
      </a:ln>
    </cs:spPr>
    <cs:defRPr sz="900" b="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</xdr:colOff>
      <xdr:row>5</xdr:row>
      <xdr:rowOff>164352</xdr:rowOff>
    </xdr:from>
    <xdr:to>
      <xdr:col>3</xdr:col>
      <xdr:colOff>600364</xdr:colOff>
      <xdr:row>18</xdr:row>
      <xdr:rowOff>43930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9AA7397-FB0E-A3A4-CEBC-90C3F931B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644359</xdr:colOff>
      <xdr:row>6</xdr:row>
      <xdr:rowOff>1867</xdr:rowOff>
    </xdr:from>
    <xdr:to>
      <xdr:col>5</xdr:col>
      <xdr:colOff>1591469</xdr:colOff>
      <xdr:row>18</xdr:row>
      <xdr:rowOff>47816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5EB7937-4AB5-435C-BD6B-BD2ECB50A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42384</xdr:colOff>
      <xdr:row>18</xdr:row>
      <xdr:rowOff>114148</xdr:rowOff>
    </xdr:from>
    <xdr:to>
      <xdr:col>5</xdr:col>
      <xdr:colOff>1583531</xdr:colOff>
      <xdr:row>34</xdr:row>
      <xdr:rowOff>120511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8168239-710A-4D9C-93BF-4991A5613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</xdr:colOff>
      <xdr:row>22</xdr:row>
      <xdr:rowOff>34637</xdr:rowOff>
    </xdr:from>
    <xdr:to>
      <xdr:col>9</xdr:col>
      <xdr:colOff>2159000</xdr:colOff>
      <xdr:row>34</xdr:row>
      <xdr:rowOff>129281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B73C263-A382-49CE-B1B5-EDAE4D3AB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824</xdr:colOff>
      <xdr:row>7</xdr:row>
      <xdr:rowOff>23091</xdr:rowOff>
    </xdr:from>
    <xdr:to>
      <xdr:col>9</xdr:col>
      <xdr:colOff>2156811</xdr:colOff>
      <xdr:row>21</xdr:row>
      <xdr:rowOff>180109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Диаграмма 6">
              <a:extLst>
                <a:ext uri="{FF2B5EF4-FFF2-40B4-BE49-F238E27FC236}">
                  <a16:creationId xmlns:a16="http://schemas.microsoft.com/office/drawing/2014/main" id="{70DF5196-AA66-4D7E-AB5C-AEEAACEC13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03410" y="2103263"/>
              <a:ext cx="5035384" cy="27627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9</xdr:col>
      <xdr:colOff>2188029</xdr:colOff>
      <xdr:row>25</xdr:row>
      <xdr:rowOff>3629</xdr:rowOff>
    </xdr:from>
    <xdr:to>
      <xdr:col>11</xdr:col>
      <xdr:colOff>3368260</xdr:colOff>
      <xdr:row>34</xdr:row>
      <xdr:rowOff>123824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9E4E9E9C-F4CE-4CD8-B079-F6DD0B377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2190290</xdr:colOff>
      <xdr:row>7</xdr:row>
      <xdr:rowOff>18406</xdr:rowOff>
    </xdr:from>
    <xdr:to>
      <xdr:col>11</xdr:col>
      <xdr:colOff>3361614</xdr:colOff>
      <xdr:row>24</xdr:row>
      <xdr:rowOff>147247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3324B8B7-5023-4D4D-ABD7-F0A85FC27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_dup" refreshedDate="46240.760863425923" createdVersion="8" refreshedVersion="8" minRefreshableVersion="3" recordCount="24" xr:uid="{6A235130-2AFB-4574-8E85-9CAAA0B0B141}">
  <cacheSource type="worksheet">
    <worksheetSource name="_6_revenue_percent"/>
  </cacheSource>
  <cacheFields count="6">
    <cacheField name="category" numFmtId="0">
      <sharedItems count="14">
        <s v="Baked Goods &amp; Mixes"/>
        <s v="Beverages"/>
        <s v="Candy"/>
        <s v="Canned Fruit &amp; Vegetables"/>
        <s v="Canned Meat"/>
        <s v="Condiments"/>
        <s v="Dairy products"/>
        <s v="Dried Fruit &amp; Nuts"/>
        <s v="Grains"/>
        <s v="Jams, Preserves"/>
        <s v="Oil"/>
        <s v="Pasta"/>
        <s v="Sauces"/>
        <s v="Soups"/>
      </sharedItems>
    </cacheField>
    <cacheField name="id" numFmtId="0">
      <sharedItems containsSemiMixedTypes="0" containsString="0" containsNumber="1" containsInteger="1" minValue="1" maxValue="81"/>
    </cacheField>
    <cacheField name="product_name" numFmtId="0">
      <sharedItems/>
    </cacheField>
    <cacheField name="revenue" numFmtId="164">
      <sharedItems containsSemiMixedTypes="0" containsString="0" containsNumber="1" minValue="0" maxValue="14950"/>
    </cacheField>
    <cacheField name="category_revenue" numFmtId="164">
      <sharedItems containsSemiMixedTypes="0" containsString="0" containsNumber="1" minValue="280" maxValue="22636"/>
    </cacheField>
    <cacheField name="share_percent" numFmtId="10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_dup" refreshedDate="46240.866061111112" createdVersion="8" refreshedVersion="8" minRefreshableVersion="3" recordCount="24" xr:uid="{1147DF25-6265-465D-A6CF-3889BC32F00C}">
  <cacheSource type="worksheet">
    <worksheetSource name="_10_ABC"/>
  </cacheSource>
  <cacheFields count="7">
    <cacheField name="id" numFmtId="0">
      <sharedItems containsSemiMixedTypes="0" containsString="0" containsNumber="1" containsInteger="1" minValue="1" maxValue="81"/>
    </cacheField>
    <cacheField name="product_name" numFmtId="0">
      <sharedItems count="24">
        <s v="Northwind Traders Coffee"/>
        <s v="Northwind Traders Beer"/>
        <s v="Northwind Traders Marmalade"/>
        <s v="Northwind Traders Mozzarella"/>
        <s v="Northwind Traders Clam Chowder"/>
        <s v="Northwind Traders Chocolate"/>
        <s v="Northwind Traders Boysenberry Spread"/>
        <s v="Northwind Traders Dried Apples"/>
        <s v="Northwind Traders Ravioli"/>
        <s v="Northwind Traders Curry Sauce"/>
        <s v="Northwind Traders Fruit Cocktail"/>
        <s v="Northwind Traders Crab Meat"/>
        <s v="Northwind Traders Dried Pears"/>
        <s v="Northwind Traders Chocolate Biscuits Mix"/>
        <s v="Northwind Traders Cajun Seasoning"/>
        <s v="Northwind Traders Green Tea"/>
        <s v="Northwind Traders Olive Oil"/>
        <s v="Northwind Traders Syrup"/>
        <s v="Northwind Traders Long Grain Rice"/>
        <s v="Northwind Traders Chai"/>
        <s v="Northwind Traders Scones"/>
        <s v="Northwind Traders Almonds"/>
        <s v="Northwind Traders Dried Plums"/>
        <s v="Northwind Traders Gnocchi"/>
      </sharedItems>
    </cacheField>
    <cacheField name="revenue" numFmtId="164">
      <sharedItems containsSemiMixedTypes="0" containsString="0" containsNumber="1" minValue="0" maxValue="14950"/>
    </cacheField>
    <cacheField name="revenue_share_percent" numFmtId="10">
      <sharedItems containsSemiMixedTypes="0" containsString="0" containsNumber="1" minValue="0" maxValue="0.29949999999999999"/>
    </cacheField>
    <cacheField name="cumulative_share_percent" numFmtId="10">
      <sharedItems containsSemiMixedTypes="0" containsString="0" containsNumber="1" minValue="0.29949999999999999" maxValue="1"/>
    </cacheField>
    <cacheField name="abc_category" numFmtId="0">
      <sharedItems count="3">
        <s v="A"/>
        <s v="B"/>
        <s v="C"/>
      </sharedItems>
    </cacheField>
    <cacheField name="category" numFmtId="0">
      <sharedItems count="14">
        <s v="Beverages"/>
        <s v="Jams, Preserves"/>
        <s v="Dairy products"/>
        <s v="Soups"/>
        <s v="Candy"/>
        <s v="Dried Fruit &amp; Nuts"/>
        <s v="Pasta"/>
        <s v="Sauces"/>
        <s v="Canned Fruit &amp; Vegetables"/>
        <s v="Canned Meat"/>
        <s v="Baked Goods &amp; Mixes"/>
        <s v="Condiments"/>
        <s v="Oil"/>
        <s v="Grain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19"/>
    <s v="Northwind Traders Chocolate Biscuits Mix"/>
    <n v="690"/>
    <n v="890"/>
    <n v="0.77500000000000002"/>
  </r>
  <r>
    <x v="0"/>
    <n v="21"/>
    <s v="Northwind Traders Scones"/>
    <n v="200"/>
    <n v="890"/>
    <n v="0.22500000000000001"/>
  </r>
  <r>
    <x v="1"/>
    <n v="43"/>
    <s v="Northwind Traders Coffee"/>
    <n v="14950"/>
    <n v="22636"/>
    <n v="0.66"/>
  </r>
  <r>
    <x v="1"/>
    <n v="34"/>
    <s v="Northwind Traders Beer"/>
    <n v="6818"/>
    <n v="22636"/>
    <n v="0.30099999999999999"/>
  </r>
  <r>
    <x v="1"/>
    <n v="81"/>
    <s v="Northwind Traders Green Tea"/>
    <n v="598"/>
    <n v="22636"/>
    <n v="2.5999999999999999E-2"/>
  </r>
  <r>
    <x v="1"/>
    <n v="1"/>
    <s v="Northwind Traders Chai"/>
    <n v="270"/>
    <n v="22636"/>
    <n v="1.2E-2"/>
  </r>
  <r>
    <x v="2"/>
    <n v="48"/>
    <s v="Northwind Traders Chocolate"/>
    <n v="2550"/>
    <n v="2550"/>
    <n v="1"/>
  </r>
  <r>
    <x v="3"/>
    <n v="17"/>
    <s v="Northwind Traders Fruit Cocktail"/>
    <n v="1560"/>
    <n v="1560"/>
    <n v="1"/>
  </r>
  <r>
    <x v="4"/>
    <n v="40"/>
    <s v="Northwind Traders Crab Meat"/>
    <n v="1472"/>
    <n v="1472"/>
    <n v="1"/>
  </r>
  <r>
    <x v="5"/>
    <n v="4"/>
    <s v="Northwind Traders Cajun Seasoning"/>
    <n v="660"/>
    <n v="1160"/>
    <n v="0.56899999999999995"/>
  </r>
  <r>
    <x v="5"/>
    <n v="3"/>
    <s v="Northwind Traders Syrup"/>
    <n v="500"/>
    <n v="1160"/>
    <n v="0.43099999999999999"/>
  </r>
  <r>
    <x v="6"/>
    <n v="72"/>
    <s v="Northwind Traders Mozzarella"/>
    <n v="3132"/>
    <n v="3132"/>
    <n v="1"/>
  </r>
  <r>
    <x v="7"/>
    <n v="51"/>
    <s v="Northwind Traders Dried Apples"/>
    <n v="2120"/>
    <n v="3660"/>
    <n v="0.57899999999999996"/>
  </r>
  <r>
    <x v="7"/>
    <n v="7"/>
    <s v="Northwind Traders Dried Pears"/>
    <n v="1200"/>
    <n v="3660"/>
    <n v="0.32800000000000001"/>
  </r>
  <r>
    <x v="7"/>
    <n v="74"/>
    <s v="Northwind Traders Almonds"/>
    <n v="200"/>
    <n v="3660"/>
    <n v="5.5E-2"/>
  </r>
  <r>
    <x v="7"/>
    <n v="80"/>
    <s v="Northwind Traders Dried Plums"/>
    <n v="140"/>
    <n v="3660"/>
    <n v="3.7999999999999999E-2"/>
  </r>
  <r>
    <x v="8"/>
    <n v="52"/>
    <s v="Northwind Traders Long Grain Rice"/>
    <n v="280"/>
    <n v="280"/>
    <n v="1"/>
  </r>
  <r>
    <x v="9"/>
    <n v="20"/>
    <s v="Northwind Traders Marmalade"/>
    <n v="3240"/>
    <n v="5490"/>
    <n v="0.59"/>
  </r>
  <r>
    <x v="9"/>
    <n v="6"/>
    <s v="Northwind Traders Boysenberry Spread"/>
    <n v="2250"/>
    <n v="5490"/>
    <n v="0.41"/>
  </r>
  <r>
    <x v="10"/>
    <n v="5"/>
    <s v="Northwind Traders Olive Oil"/>
    <n v="533.75"/>
    <n v="533.75"/>
    <n v="1"/>
  </r>
  <r>
    <x v="11"/>
    <n v="57"/>
    <s v="Northwind Traders Ravioli"/>
    <n v="1950"/>
    <n v="1950"/>
    <n v="1"/>
  </r>
  <r>
    <x v="11"/>
    <n v="56"/>
    <s v="Northwind Traders Gnocchi"/>
    <n v="0"/>
    <n v="1950"/>
    <n v="0"/>
  </r>
  <r>
    <x v="12"/>
    <n v="8"/>
    <s v="Northwind Traders Curry Sauce"/>
    <n v="1800"/>
    <n v="1800"/>
    <n v="1"/>
  </r>
  <r>
    <x v="13"/>
    <n v="41"/>
    <s v="Northwind Traders Clam Chowder"/>
    <n v="2798.5"/>
    <n v="2798.5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43"/>
    <x v="0"/>
    <n v="14950"/>
    <n v="0.29949999999999999"/>
    <n v="0.29949999999999999"/>
    <x v="0"/>
    <x v="0"/>
  </r>
  <r>
    <n v="34"/>
    <x v="1"/>
    <n v="6818"/>
    <n v="0.1366"/>
    <n v="0.43609999999999999"/>
    <x v="0"/>
    <x v="0"/>
  </r>
  <r>
    <n v="20"/>
    <x v="2"/>
    <n v="3240"/>
    <n v="6.4899999999999999E-2"/>
    <n v="0.501"/>
    <x v="0"/>
    <x v="1"/>
  </r>
  <r>
    <n v="72"/>
    <x v="3"/>
    <n v="3132"/>
    <n v="6.2799999999999995E-2"/>
    <n v="0.56379999999999997"/>
    <x v="0"/>
    <x v="2"/>
  </r>
  <r>
    <n v="41"/>
    <x v="4"/>
    <n v="2798.5"/>
    <n v="5.6099999999999997E-2"/>
    <n v="0.61990000000000001"/>
    <x v="0"/>
    <x v="3"/>
  </r>
  <r>
    <n v="48"/>
    <x v="5"/>
    <n v="2550"/>
    <n v="5.11E-2"/>
    <n v="0.67090000000000005"/>
    <x v="0"/>
    <x v="4"/>
  </r>
  <r>
    <n v="6"/>
    <x v="6"/>
    <n v="2250"/>
    <n v="4.5100000000000001E-2"/>
    <n v="0.71599999999999997"/>
    <x v="0"/>
    <x v="1"/>
  </r>
  <r>
    <n v="51"/>
    <x v="7"/>
    <n v="2120"/>
    <n v="4.2500000000000003E-2"/>
    <n v="0.75849999999999995"/>
    <x v="0"/>
    <x v="5"/>
  </r>
  <r>
    <n v="57"/>
    <x v="8"/>
    <n v="1950"/>
    <n v="3.9100000000000003E-2"/>
    <n v="0.79759999999999998"/>
    <x v="0"/>
    <x v="6"/>
  </r>
  <r>
    <n v="8"/>
    <x v="9"/>
    <n v="1800"/>
    <n v="3.61E-2"/>
    <n v="0.83360000000000001"/>
    <x v="1"/>
    <x v="7"/>
  </r>
  <r>
    <n v="17"/>
    <x v="10"/>
    <n v="1560"/>
    <n v="3.1300000000000001E-2"/>
    <n v="0.8649"/>
    <x v="1"/>
    <x v="8"/>
  </r>
  <r>
    <n v="40"/>
    <x v="11"/>
    <n v="1472"/>
    <n v="2.9499999999999998E-2"/>
    <n v="0.89439999999999997"/>
    <x v="1"/>
    <x v="9"/>
  </r>
  <r>
    <n v="7"/>
    <x v="12"/>
    <n v="1200"/>
    <n v="2.4E-2"/>
    <n v="0.91839999999999999"/>
    <x v="1"/>
    <x v="5"/>
  </r>
  <r>
    <n v="19"/>
    <x v="13"/>
    <n v="690"/>
    <n v="1.38E-2"/>
    <n v="0.93220000000000003"/>
    <x v="1"/>
    <x v="10"/>
  </r>
  <r>
    <n v="4"/>
    <x v="14"/>
    <n v="660"/>
    <n v="1.32E-2"/>
    <n v="0.94550000000000001"/>
    <x v="1"/>
    <x v="11"/>
  </r>
  <r>
    <n v="81"/>
    <x v="15"/>
    <n v="598"/>
    <n v="1.2E-2"/>
    <n v="0.95750000000000002"/>
    <x v="2"/>
    <x v="0"/>
  </r>
  <r>
    <n v="5"/>
    <x v="16"/>
    <n v="533.75"/>
    <n v="1.0699999999999999E-2"/>
    <n v="0.96809999999999996"/>
    <x v="2"/>
    <x v="12"/>
  </r>
  <r>
    <n v="3"/>
    <x v="17"/>
    <n v="500"/>
    <n v="0.01"/>
    <n v="0.97819999999999996"/>
    <x v="2"/>
    <x v="11"/>
  </r>
  <r>
    <n v="52"/>
    <x v="18"/>
    <n v="280"/>
    <n v="5.5999999999999999E-3"/>
    <n v="0.98380000000000001"/>
    <x v="2"/>
    <x v="13"/>
  </r>
  <r>
    <n v="1"/>
    <x v="19"/>
    <n v="270"/>
    <n v="5.4000000000000003E-3"/>
    <n v="0.98919999999999997"/>
    <x v="2"/>
    <x v="0"/>
  </r>
  <r>
    <n v="21"/>
    <x v="20"/>
    <n v="200"/>
    <n v="4.0000000000000001E-3"/>
    <n v="0.99719999999999998"/>
    <x v="2"/>
    <x v="10"/>
  </r>
  <r>
    <n v="74"/>
    <x v="21"/>
    <n v="200"/>
    <n v="4.0000000000000001E-3"/>
    <n v="0.99719999999999998"/>
    <x v="2"/>
    <x v="5"/>
  </r>
  <r>
    <n v="80"/>
    <x v="22"/>
    <n v="140"/>
    <n v="2.8E-3"/>
    <n v="1"/>
    <x v="2"/>
    <x v="5"/>
  </r>
  <r>
    <n v="56"/>
    <x v="23"/>
    <n v="0"/>
    <n v="0"/>
    <n v="1"/>
    <x v="2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0DD72-DB6A-4D75-916E-1347F1E1A8CF}" name="Сводная таблица10" cacheId="2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5" rowHeaderCaption="category">
  <location ref="G1:H16" firstHeaderRow="1" firstDataRow="1" firstDataCol="1"/>
  <pivotFields count="6">
    <pivotField axis="axisRow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  <pivotField numFmtId="164" showAll="0"/>
    <pivotField numFmtId="10" showAll="0"/>
  </pivotFields>
  <rowFields count="1">
    <field x="0"/>
  </rowFields>
  <rowItems count="15">
    <i>
      <x v="1"/>
    </i>
    <i>
      <x v="9"/>
    </i>
    <i>
      <x v="7"/>
    </i>
    <i>
      <x v="6"/>
    </i>
    <i>
      <x v="13"/>
    </i>
    <i>
      <x v="2"/>
    </i>
    <i>
      <x v="11"/>
    </i>
    <i>
      <x v="12"/>
    </i>
    <i>
      <x v="3"/>
    </i>
    <i>
      <x v="4"/>
    </i>
    <i>
      <x v="5"/>
    </i>
    <i>
      <x/>
    </i>
    <i>
      <x v="10"/>
    </i>
    <i>
      <x v="8"/>
    </i>
    <i t="grand">
      <x/>
    </i>
  </rowItems>
  <colItems count="1">
    <i/>
  </colItems>
  <dataFields count="1">
    <dataField name="revenue_rating" fld="3" baseField="0" baseItem="0" numFmtId="164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78E1C6-8CE2-4F7E-BBFE-526D9D2AECB3}" name="Сводная таблица34" cacheId="8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4" rowHeaderCaption="category">
  <location ref="H1:L17" firstHeaderRow="1" firstDataRow="2" firstDataCol="1"/>
  <pivotFields count="7">
    <pivotField showAll="0"/>
    <pivotField dataField="1" showAll="0">
      <items count="25">
        <item x="21"/>
        <item x="1"/>
        <item x="6"/>
        <item x="14"/>
        <item x="19"/>
        <item x="5"/>
        <item x="13"/>
        <item x="4"/>
        <item x="0"/>
        <item x="11"/>
        <item x="9"/>
        <item x="7"/>
        <item x="12"/>
        <item x="22"/>
        <item x="10"/>
        <item x="23"/>
        <item x="15"/>
        <item x="18"/>
        <item x="2"/>
        <item x="3"/>
        <item x="16"/>
        <item x="8"/>
        <item x="20"/>
        <item x="17"/>
        <item t="default"/>
      </items>
    </pivotField>
    <pivotField numFmtId="164" showAll="0"/>
    <pivotField numFmtId="10" showAll="0"/>
    <pivotField numFmtId="10" showAll="0"/>
    <pivotField axis="axisCol" showAll="0">
      <items count="4">
        <item x="0"/>
        <item x="1"/>
        <item x="2"/>
        <item t="default"/>
      </items>
    </pivotField>
    <pivotField axis="axisRow" showAll="0">
      <items count="15">
        <item x="10"/>
        <item x="0"/>
        <item x="4"/>
        <item x="8"/>
        <item x="9"/>
        <item x="11"/>
        <item x="2"/>
        <item x="5"/>
        <item x="13"/>
        <item x="1"/>
        <item x="12"/>
        <item x="6"/>
        <item x="7"/>
        <item x="3"/>
        <item t="default"/>
      </items>
    </pivotField>
  </pivotFields>
  <rowFields count="1"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Количество по полю product_name" fld="1" subtotal="count" baseField="0" baseItem="0"/>
  </dataFields>
  <chartFormats count="3"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58E896D-610B-4723-8EA8-78EC0FC5B481}" autoFormatId="16" applyNumberFormats="0" applyBorderFormats="0" applyFontFormats="0" applyPatternFormats="0" applyAlignmentFormats="0" applyWidthHeightFormats="0">
  <queryTableRefresh nextId="7">
    <queryTableFields count="6">
      <queryTableField id="1" name="category" tableColumnId="7"/>
      <queryTableField id="2" name="id" tableColumnId="2"/>
      <queryTableField id="3" name="product_name" tableColumnId="3"/>
      <queryTableField id="4" name="revenue" tableColumnId="4"/>
      <queryTableField id="5" name="category_revenue" tableColumnId="5"/>
      <queryTableField id="6" name="share_percen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E264E44-E08B-49A1-B923-EFD941D406E5}" autoFormatId="16" applyNumberFormats="0" applyBorderFormats="0" applyFontFormats="0" applyPatternFormats="0" applyAlignmentFormats="0" applyWidthHeightFormats="0">
  <queryTableRefresh nextId="8">
    <queryTableFields count="7">
      <queryTableField id="1" name="category" tableColumnId="8"/>
      <queryTableField id="2" name="product_name" tableColumnId="2"/>
      <queryTableField id="3" name="list_price" tableColumnId="3"/>
      <queryTableField id="4" name="average_price_comparison" tableColumnId="4"/>
      <queryTableField id="5" name="average_price" tableColumnId="5"/>
      <queryTableField id="6" name="median_price_comparison" tableColumnId="6"/>
      <queryTableField id="7" name="median_pric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24EB30A-CE16-4DAE-9196-448B92CB3513}" autoFormatId="16" applyNumberFormats="0" applyBorderFormats="0" applyFontFormats="0" applyPatternFormats="0" applyAlignmentFormats="0" applyWidthHeightFormats="0">
  <queryTableRefresh nextId="9">
    <queryTableFields count="8">
      <queryTableField id="1" name="categories_unique" tableColumnId="9"/>
      <queryTableField id="2" name="products_unique" tableColumnId="2"/>
      <queryTableField id="3" name="active_products" tableColumnId="3"/>
      <queryTableField id="4" name="discontinued_products" tableColumnId="4"/>
      <queryTableField id="5" name="products_sold" tableColumnId="5"/>
      <queryTableField id="6" name="never_sold_products" tableColumnId="6"/>
      <queryTableField id="7" name="average_product_price" tableColumnId="7"/>
      <queryTableField id="8" name="average_units_per_product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C808A7E-8188-4F57-AB42-7B582299A2AD}" autoFormatId="16" applyNumberFormats="0" applyBorderFormats="0" applyFontFormats="0" applyPatternFormats="0" applyAlignmentFormats="0" applyWidthHeightFormats="0">
  <queryTableRefresh nextId="12" unboundColumnsRight="6">
    <queryTableFields count="8">
      <queryTableField id="4" name="rating_type" tableColumnId="5"/>
      <queryTableField id="5" name="product_name" tableColumnId="6"/>
      <queryTableField id="6" dataBound="0" tableColumnId="7"/>
      <queryTableField id="7" dataBound="0" tableColumnId="8"/>
      <queryTableField id="8" dataBound="0" tableColumnId="9"/>
      <queryTableField id="9" dataBound="0" tableColumnId="10"/>
      <queryTableField id="10" dataBound="0" tableColumnId="11"/>
      <queryTableField id="11" dataBound="0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4F5C3F-1FE0-45B4-9076-988C2D3199D2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id" tableColumnId="7"/>
      <queryTableField id="2" name="product_name" tableColumnId="2"/>
      <queryTableField id="3" name="revenue" tableColumnId="3"/>
      <queryTableField id="4" name="revenue_share_percent" tableColumnId="4"/>
      <queryTableField id="5" name="cumulative_share_percent" tableColumnId="5"/>
      <queryTableField id="6" name="abc_category" tableColumnId="6"/>
      <queryTableField id="7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11FE68-5702-4F8A-9421-813D301BC098}" name="_6_revenue_percent" displayName="_6_revenue_percent" ref="A1:F25" tableType="queryTable" totalsRowShown="0" headerRowDxfId="45" headerRowBorderDxfId="50" tableBorderDxfId="51" totalsRowBorderDxfId="49">
  <autoFilter ref="A1:F25" xr:uid="{D111FE68-5702-4F8A-9421-813D301BC098}"/>
  <tableColumns count="6">
    <tableColumn id="7" xr3:uid="{2009762A-AE9C-49BC-8661-6389C2CD3BC7}" uniqueName="7" name="category" queryTableFieldId="1" dataDxfId="48"/>
    <tableColumn id="2" xr3:uid="{8E3BBFB7-F128-4753-9463-B9A38C15295A}" uniqueName="2" name="id" queryTableFieldId="2" dataDxfId="47"/>
    <tableColumn id="3" xr3:uid="{38905BA7-332D-460A-9BFA-8EC0B940258F}" uniqueName="3" name="product_name" queryTableFieldId="3" dataDxfId="46"/>
    <tableColumn id="4" xr3:uid="{8555127D-9045-4336-A05D-F6CB37E682BB}" uniqueName="4" name="revenue" queryTableFieldId="4" dataDxfId="44"/>
    <tableColumn id="5" xr3:uid="{3D0E491B-0011-4C88-B682-7D8DAED7562C}" uniqueName="5" name="category_revenue" queryTableFieldId="5" dataDxfId="43"/>
    <tableColumn id="6" xr3:uid="{EC79774F-93FF-4226-B3A2-29D828122C75}" uniqueName="6" name="share_percent" queryTableFieldId="6" dataDxfId="42"/>
  </tableColumns>
  <tableStyleInfo name="Стиль таблицы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F2D764-92AA-4FDB-ABE3-76C994988B59}" name="_7_AVG_MED" displayName="_7_AVG_MED" ref="A1:G49" tableType="queryTable" totalsRowShown="0" headerRowDxfId="55" headerRowBorderDxfId="61" tableBorderDxfId="62" totalsRowBorderDxfId="60">
  <autoFilter ref="A1:G49" xr:uid="{F6F2D764-92AA-4FDB-ABE3-76C994988B59}"/>
  <tableColumns count="7">
    <tableColumn id="8" xr3:uid="{093F747B-AEEC-496D-B543-4564A5029429}" uniqueName="8" name="category" queryTableFieldId="1" dataDxfId="59"/>
    <tableColumn id="2" xr3:uid="{B521D637-2357-4AD1-9524-42F14639CDF1}" uniqueName="2" name="product_name" queryTableFieldId="2" dataDxfId="58"/>
    <tableColumn id="3" xr3:uid="{084E6CC4-9156-412E-94AD-EDB7A365177A}" uniqueName="3" name="list_price" queryTableFieldId="3" dataDxfId="54"/>
    <tableColumn id="4" xr3:uid="{39308331-720F-4067-9E5B-61190B9FD6BB}" uniqueName="4" name="average_price_comparison" queryTableFieldId="4" dataDxfId="57"/>
    <tableColumn id="5" xr3:uid="{F2F7E469-D785-4BAB-85C3-5F6CF729F8C5}" uniqueName="5" name="average_price" queryTableFieldId="5" dataDxfId="53"/>
    <tableColumn id="6" xr3:uid="{C809623C-646C-43C6-93DC-520614169BC5}" uniqueName="6" name="median_price_comparison" queryTableFieldId="6" dataDxfId="56"/>
    <tableColumn id="7" xr3:uid="{AFE50DAF-7ED0-4066-963F-46A73DEAD274}" uniqueName="7" name="median_price" queryTableFieldId="7" dataDxfId="52"/>
  </tableColumns>
  <tableStyleInfo name="Стиль таблицы 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230CCB6-D6D2-4506-91C7-E7C86A6D27E0}" name="_8_products_KPI" displayName="_8_products_KPI" ref="A1:H2" tableType="queryTable" totalsRowShown="0" headerRowDxfId="31" headerRowBorderDxfId="40" tableBorderDxfId="41" totalsRowBorderDxfId="39">
  <autoFilter ref="A1:H2" xr:uid="{3230CCB6-D6D2-4506-91C7-E7C86A6D27E0}"/>
  <tableColumns count="8">
    <tableColumn id="9" xr3:uid="{A84198FE-C4E9-4E17-BB94-01C8AD734B13}" uniqueName="9" name="categories_unique" queryTableFieldId="1" dataDxfId="38"/>
    <tableColumn id="2" xr3:uid="{D238A6BE-B60B-48C4-8BD2-C48D39636A0F}" uniqueName="2" name="products_unique" queryTableFieldId="2" dataDxfId="37"/>
    <tableColumn id="3" xr3:uid="{07E9152D-1A6F-4C17-AC9D-843A3580EEF8}" uniqueName="3" name="active_products" queryTableFieldId="3" dataDxfId="36"/>
    <tableColumn id="4" xr3:uid="{7B832DE9-DA6F-47FE-8DD2-B20A5E806C56}" uniqueName="4" name="discontinued_products" queryTableFieldId="4" dataDxfId="35"/>
    <tableColumn id="5" xr3:uid="{29E0842E-BEC8-4BF9-8311-E6CF5D34DA48}" uniqueName="5" name="products_sold" queryTableFieldId="5" dataDxfId="34"/>
    <tableColumn id="6" xr3:uid="{1CA79B6E-CFB6-4C13-B75D-072444684DAD}" uniqueName="6" name="never_sold_products" queryTableFieldId="6" dataDxfId="33"/>
    <tableColumn id="7" xr3:uid="{E880FECF-8423-47D3-A66D-C79BF6403A86}" uniqueName="7" name="average_product_price" queryTableFieldId="7" dataDxfId="22"/>
    <tableColumn id="8" xr3:uid="{AF2B7642-7DE1-4858-86E0-7B1B29156DD2}" uniqueName="8" name="average_units_per_product" queryTableFieldId="8" dataDxfId="32"/>
  </tableColumns>
  <tableStyleInfo name="Стиль таблицы 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EF442E-FF2F-4E51-B698-85A1473C550B}" name="_9_top_products" displayName="_9_top_products" ref="A1:H4" tableType="queryTable" totalsRowShown="0" headerRowDxfId="23" headerRowBorderDxfId="29" tableBorderDxfId="30" totalsRowBorderDxfId="28">
  <autoFilter ref="A1:H4" xr:uid="{04EF442E-FF2F-4E51-B698-85A1473C550B}"/>
  <tableColumns count="8">
    <tableColumn id="5" xr3:uid="{8AFE90EA-C3BF-4B52-ADF4-896EC5911DC1}" uniqueName="5" name="rating_type" queryTableFieldId="4" dataDxfId="27"/>
    <tableColumn id="6" xr3:uid="{CBE2E74A-F81E-4141-9357-7B466A9BA3E4}" uniqueName="6" name="product_name" queryTableFieldId="5" dataDxfId="26"/>
    <tableColumn id="7" xr3:uid="{44642934-E02B-40BD-B203-7D09EFC3C3AD}" uniqueName="7" name="id" queryTableFieldId="6" dataDxfId="25">
      <calculatedColumnFormula>INDEX('6_revenue_percent'!$B$2:$B$25,MATCH(B2,'6_revenue_percent'!$C$2:$C$25,0))</calculatedColumnFormula>
    </tableColumn>
    <tableColumn id="8" xr3:uid="{A095AE2D-5A9B-4B5F-ADFB-F6A77D79C392}" uniqueName="8" name="category" queryTableFieldId="7" dataDxfId="24">
      <calculatedColumnFormula>INDEX('6_revenue_percent'!$A$2:$A$25,MATCH(B2,'6_revenue_percent'!$C$2:$C$25,0))</calculatedColumnFormula>
    </tableColumn>
    <tableColumn id="9" xr3:uid="{E00D3076-5CEC-4D2D-940F-8D7DD1802B1A}" uniqueName="9" name="list_price" queryTableFieldId="8" dataDxfId="18">
      <calculatedColumnFormula>VLOOKUP(B2,'7_AVG_MED'!$B$2:$C$46,2,0)</calculatedColumnFormula>
    </tableColumn>
    <tableColumn id="10" xr3:uid="{34791DD5-0731-413E-B951-A75C1F3D212F}" uniqueName="10" name="revenue" queryTableFieldId="9" dataDxfId="21">
      <calculatedColumnFormula>VLOOKUP(B2,'6_revenue_percent'!$C$2:$D$25,2,0)</calculatedColumnFormula>
    </tableColumn>
    <tableColumn id="11" xr3:uid="{2DD6F4C6-409E-452C-89EC-C8BC0C2FB7B4}" uniqueName="11" name="revenue_share_percent" queryTableFieldId="10" dataDxfId="20">
      <calculatedColumnFormula>VLOOKUP(B2,'10_ABC'!$B$2:$D$25,3,0)</calculatedColumnFormula>
    </tableColumn>
    <tableColumn id="12" xr3:uid="{74B05AEB-A35D-4DA2-864B-C01150F1ED16}" uniqueName="12" name="abc_category" queryTableFieldId="11" dataDxfId="19">
      <calculatedColumnFormula>VLOOKUP(B2,'10_ABC'!$B$2:$F$25,5,0)</calculatedColumnFormula>
    </tableColumn>
  </tableColumns>
  <tableStyleInfo name="Стиль таблицы 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D0B1A14-A70E-4923-8A56-A4B9BAC2D921}" name="_10_ABC" displayName="_10_ABC" ref="A1:G25" tableType="queryTable" totalsRowShown="0" headerRowDxfId="17" headerRowBorderDxfId="15" tableBorderDxfId="16" totalsRowBorderDxfId="14">
  <autoFilter ref="A1:G25" xr:uid="{9D0B1A14-A70E-4923-8A56-A4B9BAC2D921}"/>
  <tableColumns count="7">
    <tableColumn id="7" xr3:uid="{5D92C71A-AE27-493B-886F-67C9D8B1FAF6}" uniqueName="7" name="id" queryTableFieldId="1" dataDxfId="13"/>
    <tableColumn id="2" xr3:uid="{DB241598-3C70-48A3-8C8B-3869CD526C80}" uniqueName="2" name="product_name" queryTableFieldId="2" dataDxfId="12"/>
    <tableColumn id="3" xr3:uid="{FE50EA55-9D02-4559-9C18-F61AC7BD281F}" uniqueName="3" name="revenue" queryTableFieldId="3" dataDxfId="11"/>
    <tableColumn id="4" xr3:uid="{DAD1B834-1403-4CCA-BDE4-71637DA2600A}" uniqueName="4" name="revenue_share_percent" queryTableFieldId="4" dataDxfId="10"/>
    <tableColumn id="5" xr3:uid="{CEB97628-30D3-460B-ADB0-4AA0FFCF9D9F}" uniqueName="5" name="cumulative_share_percent" queryTableFieldId="5" dataDxfId="9"/>
    <tableColumn id="6" xr3:uid="{F039CA45-8D3C-4F54-8A5A-7951B9477C06}" uniqueName="6" name="abc_category" queryTableFieldId="6" dataDxfId="8"/>
    <tableColumn id="8" xr3:uid="{AFD8C9E7-6140-4249-91B4-DA1895D4A969}" uniqueName="8" name="category" queryTableFieldId="7" dataDxfId="7">
      <calculatedColumnFormula>INDEX('6_revenue_percent'!$A$2:$A$25,MATCH(B2,'6_revenue_percent'!$C$2:$C$25,0))</calculatedColumnFormula>
    </tableColumn>
  </tableColumns>
  <tableStyleInfo name="Стиль таблицы 1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4442-8AE4-40FB-B318-4D344D5F1B01}">
  <sheetPr>
    <tabColor theme="4" tint="-0.249977111117893"/>
  </sheetPr>
  <dimension ref="A1:Y37"/>
  <sheetViews>
    <sheetView tabSelected="1" zoomScale="58" zoomScaleNormal="70" workbookViewId="0">
      <selection activeCell="H7" sqref="H7"/>
    </sheetView>
  </sheetViews>
  <sheetFormatPr defaultRowHeight="14.5" x14ac:dyDescent="0.35"/>
  <cols>
    <col min="1" max="1" width="0.6328125" customWidth="1"/>
    <col min="2" max="2" width="29.26953125" customWidth="1"/>
    <col min="3" max="3" width="0.7265625" customWidth="1"/>
    <col min="4" max="4" width="26.81640625" customWidth="1"/>
    <col min="5" max="5" width="0.6328125" customWidth="1"/>
    <col min="6" max="6" width="22.90625" customWidth="1"/>
    <col min="7" max="7" width="2.08984375" customWidth="1"/>
    <col min="8" max="8" width="40.6328125" customWidth="1"/>
    <col min="9" max="9" width="0.6328125" customWidth="1"/>
    <col min="10" max="10" width="38" customWidth="1"/>
    <col min="11" max="11" width="0.81640625" customWidth="1"/>
    <col min="12" max="12" width="48.26953125" customWidth="1"/>
    <col min="13" max="13" width="0.6328125" customWidth="1"/>
    <col min="17" max="17" width="4.7265625" customWidth="1"/>
  </cols>
  <sheetData>
    <row r="1" spans="1:25" x14ac:dyDescent="0.3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ht="59.5" customHeight="1" x14ac:dyDescent="1.5">
      <c r="A2" s="52"/>
      <c r="B2" s="54" t="s">
        <v>115</v>
      </c>
      <c r="C2" s="52"/>
      <c r="D2" s="53"/>
      <c r="E2" s="53"/>
      <c r="F2" s="53"/>
      <c r="G2" s="53"/>
      <c r="H2" s="53"/>
      <c r="I2" s="53"/>
      <c r="J2" s="53"/>
      <c r="K2" s="53"/>
      <c r="L2" s="53"/>
      <c r="M2" s="52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ht="6" customHeight="1" x14ac:dyDescent="0.3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5" ht="18.5" x14ac:dyDescent="0.45">
      <c r="A4" s="52"/>
      <c r="B4" s="64" t="s">
        <v>107</v>
      </c>
      <c r="C4" s="52"/>
      <c r="D4" s="64" t="s">
        <v>108</v>
      </c>
      <c r="E4" s="52"/>
      <c r="F4" s="64" t="s">
        <v>109</v>
      </c>
      <c r="G4" s="52"/>
      <c r="H4" s="64" t="s">
        <v>110</v>
      </c>
      <c r="I4" s="52"/>
      <c r="J4" s="64" t="s">
        <v>111</v>
      </c>
      <c r="K4" s="52"/>
      <c r="L4" s="64" t="s">
        <v>112</v>
      </c>
      <c r="M4" s="52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 ht="26" x14ac:dyDescent="0.6">
      <c r="A5" s="52"/>
      <c r="B5" s="63">
        <f>_8_products_KPI[categories_unique]</f>
        <v>16</v>
      </c>
      <c r="C5" s="52"/>
      <c r="D5" s="63">
        <f>_8_products_KPI[products_unique]</f>
        <v>45</v>
      </c>
      <c r="E5" s="52"/>
      <c r="F5" s="63">
        <f>_8_products_KPI[products_sold]</f>
        <v>2382</v>
      </c>
      <c r="G5" s="52"/>
      <c r="H5" s="73" t="str">
        <f>'9_top_products'!B3</f>
        <v>Northwind Traders Coffee</v>
      </c>
      <c r="I5" s="52"/>
      <c r="J5" s="74" t="str">
        <f>'9_top_products'!B2</f>
        <v>Northwind Traders Beer</v>
      </c>
      <c r="K5" s="52"/>
      <c r="L5" s="75" t="str">
        <f>'9_top_products'!B4</f>
        <v>Northwind Traders Marmalade</v>
      </c>
      <c r="M5" s="52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ht="13" customHeight="1" thickBot="1" x14ac:dyDescent="0.4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ht="26.5" thickBot="1" x14ac:dyDescent="0.65">
      <c r="A7" s="52"/>
      <c r="B7" s="52"/>
      <c r="C7" s="52"/>
      <c r="D7" s="52"/>
      <c r="E7" s="52"/>
      <c r="F7" s="52"/>
      <c r="G7" s="52"/>
      <c r="H7" s="65" t="s">
        <v>104</v>
      </c>
      <c r="I7" s="62"/>
      <c r="J7" s="62"/>
      <c r="K7" s="62"/>
      <c r="L7" s="62"/>
      <c r="M7" s="52"/>
      <c r="N7" s="16"/>
      <c r="O7" s="66"/>
      <c r="P7" s="67"/>
      <c r="Q7" s="67"/>
      <c r="R7" s="68"/>
      <c r="S7" s="67"/>
      <c r="T7" s="67"/>
      <c r="U7" s="67"/>
      <c r="V7" s="67"/>
      <c r="W7" s="67"/>
      <c r="X7" s="69"/>
      <c r="Y7" s="16"/>
    </row>
    <row r="8" spans="1:25" x14ac:dyDescent="0.35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x14ac:dyDescent="0.3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x14ac:dyDescent="0.3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x14ac:dyDescent="0.3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spans="1:25" x14ac:dyDescent="0.3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spans="1:25" x14ac:dyDescent="0.3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spans="1:25" x14ac:dyDescent="0.3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spans="1:25" x14ac:dyDescent="0.3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1:25" x14ac:dyDescent="0.3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spans="1:25" x14ac:dyDescent="0.35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spans="1:25" x14ac:dyDescent="0.35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spans="1:25" x14ac:dyDescent="0.35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spans="1:25" x14ac:dyDescent="0.35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spans="1:25" x14ac:dyDescent="0.35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spans="1:25" x14ac:dyDescent="0.35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x14ac:dyDescent="0.35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spans="1:25" x14ac:dyDescent="0.35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spans="1:25" x14ac:dyDescent="0.3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 x14ac:dyDescent="0.35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spans="1:25" x14ac:dyDescent="0.3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spans="1:25" x14ac:dyDescent="0.35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spans="1:25" x14ac:dyDescent="0.35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 spans="1:25" x14ac:dyDescent="0.35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 spans="1:25" x14ac:dyDescent="0.3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spans="1:25" x14ac:dyDescent="0.3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 spans="1:25" x14ac:dyDescent="0.3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spans="1:25" x14ac:dyDescent="0.35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spans="1:25" x14ac:dyDescent="0.3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spans="1:25" x14ac:dyDescent="0.35"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spans="1:25" x14ac:dyDescent="0.35"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C835-CC72-48B8-BAB0-50A1F44A58A7}">
  <sheetPr>
    <tabColor rgb="FFFF0000"/>
  </sheetPr>
  <dimension ref="A1:P30"/>
  <sheetViews>
    <sheetView zoomScale="47" workbookViewId="0">
      <selection activeCell="C18" sqref="C18"/>
    </sheetView>
  </sheetViews>
  <sheetFormatPr defaultRowHeight="14.5" x14ac:dyDescent="0.35"/>
  <cols>
    <col min="1" max="1" width="2.26953125" customWidth="1"/>
    <col min="2" max="2" width="6.81640625" customWidth="1"/>
    <col min="3" max="3" width="74.81640625" customWidth="1"/>
    <col min="4" max="4" width="10.81640625" customWidth="1"/>
    <col min="6" max="6" width="2.6328125" customWidth="1"/>
    <col min="15" max="15" width="2.54296875" customWidth="1"/>
  </cols>
  <sheetData>
    <row r="1" spans="1:16" ht="15" thickBot="1" x14ac:dyDescent="0.4">
      <c r="A1" s="72"/>
      <c r="B1" s="72"/>
      <c r="C1" s="72"/>
      <c r="D1" s="72"/>
      <c r="E1" s="72"/>
      <c r="F1" s="72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43" customHeight="1" x14ac:dyDescent="1.1000000000000001">
      <c r="A2" s="72"/>
      <c r="B2" s="93"/>
      <c r="C2" s="94" t="s">
        <v>120</v>
      </c>
      <c r="D2" s="95"/>
      <c r="E2" s="96"/>
      <c r="F2" s="76"/>
      <c r="G2" s="105"/>
      <c r="H2" s="105"/>
      <c r="I2" s="105"/>
      <c r="J2" s="105"/>
      <c r="K2" s="105"/>
      <c r="L2" s="105"/>
      <c r="M2" s="105"/>
      <c r="N2" s="106"/>
      <c r="O2" s="16"/>
      <c r="P2" s="16"/>
    </row>
    <row r="3" spans="1:16" ht="12" customHeight="1" x14ac:dyDescent="0.35">
      <c r="A3" s="72"/>
      <c r="B3" s="97"/>
      <c r="C3" s="98"/>
      <c r="D3" s="78"/>
      <c r="E3" s="99"/>
      <c r="F3" s="77"/>
      <c r="G3" s="107"/>
      <c r="H3" s="107"/>
      <c r="I3" s="107"/>
      <c r="J3" s="107"/>
      <c r="K3" s="107"/>
      <c r="L3" s="107"/>
      <c r="M3" s="107"/>
      <c r="N3" s="108"/>
      <c r="O3" s="16"/>
      <c r="P3" s="16"/>
    </row>
    <row r="4" spans="1:16" ht="46" customHeight="1" x14ac:dyDescent="0.35">
      <c r="A4" s="72"/>
      <c r="B4" s="100" t="s">
        <v>117</v>
      </c>
      <c r="C4" s="91" t="s">
        <v>121</v>
      </c>
      <c r="D4" s="90" t="s">
        <v>116</v>
      </c>
      <c r="E4" s="99"/>
      <c r="F4" s="77"/>
      <c r="G4" s="107"/>
      <c r="H4" s="107"/>
      <c r="I4" s="107"/>
      <c r="J4" s="107"/>
      <c r="K4" s="107"/>
      <c r="L4" s="107"/>
      <c r="M4" s="107"/>
      <c r="N4" s="108"/>
      <c r="O4" s="16"/>
      <c r="P4" s="16"/>
    </row>
    <row r="5" spans="1:16" ht="54.5" customHeight="1" x14ac:dyDescent="0.35">
      <c r="A5" s="72"/>
      <c r="B5" s="97" t="s">
        <v>118</v>
      </c>
      <c r="C5" s="91" t="s">
        <v>122</v>
      </c>
      <c r="D5" s="90" t="s">
        <v>116</v>
      </c>
      <c r="E5" s="99"/>
      <c r="F5" s="77"/>
      <c r="G5" s="107"/>
      <c r="H5" s="107"/>
      <c r="I5" s="107"/>
      <c r="J5" s="107"/>
      <c r="K5" s="107"/>
      <c r="L5" s="107"/>
      <c r="M5" s="107"/>
      <c r="N5" s="108"/>
      <c r="O5" s="16"/>
      <c r="P5" s="16"/>
    </row>
    <row r="6" spans="1:16" ht="67" customHeight="1" x14ac:dyDescent="0.35">
      <c r="A6" s="72"/>
      <c r="B6" s="97" t="s">
        <v>119</v>
      </c>
      <c r="C6" s="91" t="s">
        <v>133</v>
      </c>
      <c r="D6" s="90" t="s">
        <v>116</v>
      </c>
      <c r="E6" s="99"/>
      <c r="F6" s="77"/>
      <c r="G6" s="107"/>
      <c r="H6" s="107"/>
      <c r="I6" s="107"/>
      <c r="J6" s="107"/>
      <c r="K6" s="107"/>
      <c r="L6" s="107"/>
      <c r="M6" s="107"/>
      <c r="N6" s="108"/>
      <c r="O6" s="16"/>
      <c r="P6" s="16"/>
    </row>
    <row r="7" spans="1:16" ht="47.5" customHeight="1" x14ac:dyDescent="0.35">
      <c r="A7" s="72"/>
      <c r="B7" s="100" t="s">
        <v>127</v>
      </c>
      <c r="C7" s="91" t="s">
        <v>132</v>
      </c>
      <c r="D7" s="90" t="s">
        <v>116</v>
      </c>
      <c r="E7" s="99"/>
      <c r="F7" s="77"/>
      <c r="G7" s="107"/>
      <c r="H7" s="107"/>
      <c r="I7" s="107"/>
      <c r="J7" s="107"/>
      <c r="K7" s="107"/>
      <c r="L7" s="107"/>
      <c r="M7" s="107"/>
      <c r="N7" s="108"/>
      <c r="O7" s="16"/>
      <c r="P7" s="16"/>
    </row>
    <row r="8" spans="1:16" ht="56.5" customHeight="1" x14ac:dyDescent="0.35">
      <c r="A8" s="72"/>
      <c r="B8" s="97" t="s">
        <v>128</v>
      </c>
      <c r="C8" s="91" t="s">
        <v>123</v>
      </c>
      <c r="D8" s="90" t="s">
        <v>116</v>
      </c>
      <c r="E8" s="99"/>
      <c r="F8" s="77"/>
      <c r="G8" s="107"/>
      <c r="H8" s="107"/>
      <c r="I8" s="107"/>
      <c r="J8" s="107"/>
      <c r="K8" s="107"/>
      <c r="L8" s="107"/>
      <c r="M8" s="107"/>
      <c r="N8" s="108"/>
      <c r="O8" s="16"/>
      <c r="P8" s="16"/>
    </row>
    <row r="9" spans="1:16" ht="59.5" customHeight="1" x14ac:dyDescent="0.35">
      <c r="A9" s="72"/>
      <c r="B9" s="100" t="s">
        <v>129</v>
      </c>
      <c r="C9" s="104" t="s">
        <v>124</v>
      </c>
      <c r="D9" s="90" t="s">
        <v>116</v>
      </c>
      <c r="E9" s="99"/>
      <c r="F9" s="77"/>
      <c r="G9" s="107"/>
      <c r="H9" s="107"/>
      <c r="I9" s="107"/>
      <c r="J9" s="107"/>
      <c r="K9" s="107"/>
      <c r="L9" s="107"/>
      <c r="M9" s="107"/>
      <c r="N9" s="108"/>
      <c r="O9" s="16"/>
      <c r="P9" s="16"/>
    </row>
    <row r="10" spans="1:16" ht="40" customHeight="1" x14ac:dyDescent="0.35">
      <c r="A10" s="72"/>
      <c r="B10" s="97" t="s">
        <v>130</v>
      </c>
      <c r="C10" s="91" t="s">
        <v>125</v>
      </c>
      <c r="D10" s="90" t="s">
        <v>116</v>
      </c>
      <c r="E10" s="99"/>
      <c r="F10" s="77"/>
      <c r="G10" s="107"/>
      <c r="H10" s="107"/>
      <c r="I10" s="107"/>
      <c r="J10" s="107"/>
      <c r="K10" s="107"/>
      <c r="L10" s="107"/>
      <c r="M10" s="107"/>
      <c r="N10" s="108"/>
      <c r="O10" s="16"/>
      <c r="P10" s="16"/>
    </row>
    <row r="11" spans="1:16" ht="60" customHeight="1" x14ac:dyDescent="0.35">
      <c r="A11" s="72"/>
      <c r="B11" s="97" t="s">
        <v>131</v>
      </c>
      <c r="C11" s="91" t="s">
        <v>126</v>
      </c>
      <c r="D11" s="90" t="s">
        <v>116</v>
      </c>
      <c r="E11" s="99"/>
      <c r="F11" s="77"/>
      <c r="G11" s="107"/>
      <c r="H11" s="107"/>
      <c r="I11" s="107"/>
      <c r="J11" s="107"/>
      <c r="K11" s="107"/>
      <c r="L11" s="107"/>
      <c r="M11" s="107"/>
      <c r="N11" s="108"/>
      <c r="O11" s="16"/>
      <c r="P11" s="16"/>
    </row>
    <row r="12" spans="1:16" ht="55.5" customHeight="1" x14ac:dyDescent="1.1000000000000001">
      <c r="A12" s="72"/>
      <c r="B12" s="101"/>
      <c r="C12" s="92" t="s">
        <v>134</v>
      </c>
      <c r="D12" s="77"/>
      <c r="E12" s="99"/>
      <c r="F12" s="77"/>
      <c r="G12" s="107"/>
      <c r="H12" s="107"/>
      <c r="I12" s="107"/>
      <c r="J12" s="107"/>
      <c r="K12" s="107"/>
      <c r="L12" s="107"/>
      <c r="M12" s="107"/>
      <c r="N12" s="108"/>
      <c r="O12" s="16"/>
      <c r="P12" s="16"/>
    </row>
    <row r="13" spans="1:16" ht="31" x14ac:dyDescent="0.35">
      <c r="A13" s="72"/>
      <c r="B13" s="100" t="s">
        <v>117</v>
      </c>
      <c r="C13" s="111" t="s">
        <v>135</v>
      </c>
      <c r="D13" s="77"/>
      <c r="E13" s="99"/>
      <c r="F13" s="77"/>
      <c r="G13" s="107"/>
      <c r="H13" s="107"/>
      <c r="I13" s="107"/>
      <c r="J13" s="107"/>
      <c r="K13" s="107"/>
      <c r="L13" s="107"/>
      <c r="M13" s="107"/>
      <c r="N13" s="108"/>
      <c r="O13" s="16"/>
      <c r="P13" s="16"/>
    </row>
    <row r="14" spans="1:16" ht="26" customHeight="1" x14ac:dyDescent="0.35">
      <c r="A14" s="72"/>
      <c r="B14" s="97" t="s">
        <v>118</v>
      </c>
      <c r="C14" s="111" t="s">
        <v>136</v>
      </c>
      <c r="D14" s="77"/>
      <c r="E14" s="99"/>
      <c r="F14" s="77"/>
      <c r="G14" s="107"/>
      <c r="H14" s="107"/>
      <c r="I14" s="107"/>
      <c r="J14" s="107"/>
      <c r="K14" s="107"/>
      <c r="L14" s="107"/>
      <c r="M14" s="107"/>
      <c r="N14" s="108"/>
      <c r="O14" s="16"/>
      <c r="P14" s="16"/>
    </row>
    <row r="15" spans="1:16" ht="35.5" customHeight="1" x14ac:dyDescent="0.35">
      <c r="A15" s="72"/>
      <c r="B15" s="97" t="s">
        <v>119</v>
      </c>
      <c r="C15" s="111" t="s">
        <v>137</v>
      </c>
      <c r="D15" s="77"/>
      <c r="E15" s="99"/>
      <c r="F15" s="77"/>
      <c r="G15" s="107"/>
      <c r="H15" s="107"/>
      <c r="I15" s="107"/>
      <c r="J15" s="107"/>
      <c r="K15" s="107"/>
      <c r="L15" s="107"/>
      <c r="M15" s="107"/>
      <c r="N15" s="108"/>
      <c r="O15" s="16"/>
      <c r="P15" s="16"/>
    </row>
    <row r="16" spans="1:16" ht="31" x14ac:dyDescent="0.35">
      <c r="A16" s="72"/>
      <c r="B16" s="100" t="s">
        <v>127</v>
      </c>
      <c r="C16" s="111" t="s">
        <v>138</v>
      </c>
      <c r="D16" s="77"/>
      <c r="E16" s="99"/>
      <c r="F16" s="77"/>
      <c r="G16" s="107"/>
      <c r="H16" s="107"/>
      <c r="I16" s="107"/>
      <c r="J16" s="107"/>
      <c r="K16" s="107"/>
      <c r="L16" s="107"/>
      <c r="M16" s="107"/>
      <c r="N16" s="108"/>
      <c r="O16" s="16"/>
      <c r="P16" s="16"/>
    </row>
    <row r="17" spans="1:16" ht="34" customHeight="1" thickBot="1" x14ac:dyDescent="0.4">
      <c r="A17" s="72"/>
      <c r="B17" s="113" t="s">
        <v>128</v>
      </c>
      <c r="C17" s="112" t="s">
        <v>139</v>
      </c>
      <c r="D17" s="102"/>
      <c r="E17" s="103"/>
      <c r="F17" s="77"/>
      <c r="G17" s="107"/>
      <c r="H17" s="107"/>
      <c r="I17" s="107"/>
      <c r="J17" s="107"/>
      <c r="K17" s="107"/>
      <c r="L17" s="107"/>
      <c r="M17" s="107"/>
      <c r="N17" s="108"/>
      <c r="O17" s="16"/>
      <c r="P17" s="16"/>
    </row>
    <row r="18" spans="1:16" x14ac:dyDescent="0.35">
      <c r="A18" s="72"/>
      <c r="B18" s="77"/>
      <c r="C18" s="77"/>
      <c r="D18" s="77"/>
      <c r="E18" s="77"/>
      <c r="F18" s="77"/>
      <c r="G18" s="107"/>
      <c r="H18" s="107"/>
      <c r="I18" s="107"/>
      <c r="J18" s="107"/>
      <c r="K18" s="107"/>
      <c r="L18" s="107"/>
      <c r="M18" s="107"/>
      <c r="N18" s="108"/>
      <c r="O18" s="16"/>
      <c r="P18" s="16"/>
    </row>
    <row r="19" spans="1:16" x14ac:dyDescent="0.35">
      <c r="A19" s="16"/>
      <c r="B19" s="114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8"/>
      <c r="O19" s="16"/>
      <c r="P19" s="16"/>
    </row>
    <row r="20" spans="1:16" x14ac:dyDescent="0.35">
      <c r="A20" s="16"/>
      <c r="B20" s="114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8"/>
      <c r="O20" s="16"/>
      <c r="P20" s="16"/>
    </row>
    <row r="21" spans="1:16" x14ac:dyDescent="0.35">
      <c r="A21" s="16"/>
      <c r="B21" s="114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8"/>
      <c r="O21" s="16"/>
      <c r="P21" s="16"/>
    </row>
    <row r="22" spans="1:16" x14ac:dyDescent="0.35">
      <c r="A22" s="16"/>
      <c r="B22" s="114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8"/>
      <c r="O22" s="16"/>
      <c r="P22" s="16"/>
    </row>
    <row r="23" spans="1:16" x14ac:dyDescent="0.35">
      <c r="A23" s="16"/>
      <c r="B23" s="114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8"/>
      <c r="O23" s="16"/>
      <c r="P23" s="16"/>
    </row>
    <row r="24" spans="1:16" x14ac:dyDescent="0.35">
      <c r="A24" s="16"/>
      <c r="B24" s="114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8"/>
      <c r="O24" s="16"/>
      <c r="P24" s="16"/>
    </row>
    <row r="25" spans="1:16" x14ac:dyDescent="0.35">
      <c r="A25" s="16"/>
      <c r="B25" s="114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8"/>
      <c r="O25" s="16"/>
      <c r="P25" s="16"/>
    </row>
    <row r="26" spans="1:16" x14ac:dyDescent="0.35">
      <c r="A26" s="16"/>
      <c r="B26" s="114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8"/>
      <c r="O26" s="16"/>
      <c r="P26" s="16"/>
    </row>
    <row r="27" spans="1:16" ht="15" thickBot="1" x14ac:dyDescent="0.4">
      <c r="A27" s="16"/>
      <c r="B27" s="115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10"/>
      <c r="O27" s="16"/>
      <c r="P27" s="16"/>
    </row>
    <row r="28" spans="1:16" x14ac:dyDescent="0.3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spans="1:16" x14ac:dyDescent="0.3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</row>
    <row r="30" spans="1:16" x14ac:dyDescent="0.3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</sheetData>
  <hyperlinks>
    <hyperlink ref="D6" location="Dashboard!H7" display="Подробнее" xr:uid="{FD892235-58EA-4D61-99E3-967766F0ED9C}"/>
    <hyperlink ref="D5" location="'10_ABC'!I17" display="Подробнее" xr:uid="{A2EA4A6E-0A81-48C9-A0CB-C06C274602A9}"/>
    <hyperlink ref="D4" location="Dashboard!B20" display="Подробнее" xr:uid="{E0728200-6486-4F27-8883-5245FB0F5363}"/>
    <hyperlink ref="D8" location="Dashboard!B7" display="Подробнее" xr:uid="{285CA087-EB2A-4E7C-A047-9DFBBF2FEAC2}"/>
    <hyperlink ref="D7" location="'6_revenue_percent'!D1" display="Подробнее" xr:uid="{FC632848-2896-4862-AE69-C13B623F9162}"/>
    <hyperlink ref="D9" location="Dashboard!E7" display="Подробнее" xr:uid="{FAE58BF7-CAC0-49A4-A705-7C03384CFCF8}"/>
    <hyperlink ref="D10" location="Dashboard!K7" display="Подробнее" xr:uid="{A075B377-9FF9-42CD-9A79-A22C5966CE5C}"/>
    <hyperlink ref="D11" location="Dashboard!H7" display="Подробнее" xr:uid="{3B9E18FA-025B-4570-A0B8-89F0004635A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8553-5C1B-4E72-892B-2BB3E17FE0CD}">
  <sheetPr>
    <tabColor theme="5" tint="0.79998168889431442"/>
  </sheetPr>
  <dimension ref="A1:H25"/>
  <sheetViews>
    <sheetView zoomScale="74" zoomScaleNormal="85" workbookViewId="0"/>
  </sheetViews>
  <sheetFormatPr defaultRowHeight="14.5" x14ac:dyDescent="0.35"/>
  <cols>
    <col min="1" max="1" width="23" bestFit="1" customWidth="1"/>
    <col min="2" max="2" width="4.6328125" bestFit="1" customWidth="1"/>
    <col min="3" max="3" width="36" bestFit="1" customWidth="1"/>
    <col min="4" max="4" width="12.26953125" style="19" customWidth="1"/>
    <col min="5" max="5" width="18.1796875" style="19" bestFit="1" customWidth="1"/>
    <col min="6" max="6" width="15.26953125" style="20" bestFit="1" customWidth="1"/>
    <col min="7" max="7" width="23.54296875" bestFit="1" customWidth="1"/>
    <col min="8" max="8" width="14.453125" bestFit="1" customWidth="1"/>
    <col min="9" max="9" width="23" bestFit="1" customWidth="1"/>
  </cols>
  <sheetData>
    <row r="1" spans="1:8" ht="15" thickBot="1" x14ac:dyDescent="0.4">
      <c r="A1" s="33" t="s">
        <v>0</v>
      </c>
      <c r="B1" s="34" t="s">
        <v>1</v>
      </c>
      <c r="C1" s="34" t="s">
        <v>2</v>
      </c>
      <c r="D1" s="35" t="s">
        <v>3</v>
      </c>
      <c r="E1" s="35" t="s">
        <v>4</v>
      </c>
      <c r="F1" s="36" t="s">
        <v>5</v>
      </c>
      <c r="G1" s="60" t="s">
        <v>0</v>
      </c>
      <c r="H1" t="s">
        <v>103</v>
      </c>
    </row>
    <row r="2" spans="1:8" x14ac:dyDescent="0.35">
      <c r="A2" s="37" t="s">
        <v>6</v>
      </c>
      <c r="B2" s="38">
        <v>19</v>
      </c>
      <c r="C2" s="38" t="s">
        <v>7</v>
      </c>
      <c r="D2" s="39">
        <v>690</v>
      </c>
      <c r="E2" s="39">
        <v>890</v>
      </c>
      <c r="F2" s="40">
        <v>0.77500000000000002</v>
      </c>
      <c r="G2" s="61" t="s">
        <v>9</v>
      </c>
      <c r="H2" s="19">
        <v>22636</v>
      </c>
    </row>
    <row r="3" spans="1:8" ht="15" thickBot="1" x14ac:dyDescent="0.4">
      <c r="A3" s="41" t="s">
        <v>6</v>
      </c>
      <c r="B3" s="42">
        <v>21</v>
      </c>
      <c r="C3" s="42" t="s">
        <v>8</v>
      </c>
      <c r="D3" s="43">
        <v>200</v>
      </c>
      <c r="E3" s="43">
        <v>890</v>
      </c>
      <c r="F3" s="44">
        <v>0.22500000000000001</v>
      </c>
      <c r="G3" s="61" t="s">
        <v>32</v>
      </c>
      <c r="H3" s="19">
        <v>5490</v>
      </c>
    </row>
    <row r="4" spans="1:8" x14ac:dyDescent="0.35">
      <c r="A4" s="37" t="s">
        <v>9</v>
      </c>
      <c r="B4" s="38">
        <v>43</v>
      </c>
      <c r="C4" s="79" t="s">
        <v>10</v>
      </c>
      <c r="D4" s="39">
        <v>14950</v>
      </c>
      <c r="E4" s="39">
        <v>22636</v>
      </c>
      <c r="F4" s="40">
        <v>0.66</v>
      </c>
      <c r="G4" s="61" t="s">
        <v>25</v>
      </c>
      <c r="H4" s="19">
        <v>3660</v>
      </c>
    </row>
    <row r="5" spans="1:8" x14ac:dyDescent="0.35">
      <c r="A5" s="45" t="s">
        <v>9</v>
      </c>
      <c r="B5" s="6">
        <v>34</v>
      </c>
      <c r="C5" s="82" t="s">
        <v>11</v>
      </c>
      <c r="D5" s="22">
        <v>6818</v>
      </c>
      <c r="E5" s="22">
        <v>22636</v>
      </c>
      <c r="F5" s="46">
        <v>0.30099999999999999</v>
      </c>
      <c r="G5" s="61" t="s">
        <v>23</v>
      </c>
      <c r="H5" s="19">
        <v>3132</v>
      </c>
    </row>
    <row r="6" spans="1:8" x14ac:dyDescent="0.35">
      <c r="A6" s="45" t="s">
        <v>9</v>
      </c>
      <c r="B6" s="6">
        <v>81</v>
      </c>
      <c r="C6" s="6" t="s">
        <v>12</v>
      </c>
      <c r="D6" s="22">
        <v>598</v>
      </c>
      <c r="E6" s="22">
        <v>22636</v>
      </c>
      <c r="F6" s="46">
        <v>2.5999999999999999E-2</v>
      </c>
      <c r="G6" s="61" t="s">
        <v>42</v>
      </c>
      <c r="H6" s="19">
        <v>2798.5</v>
      </c>
    </row>
    <row r="7" spans="1:8" ht="15" thickBot="1" x14ac:dyDescent="0.4">
      <c r="A7" s="41" t="s">
        <v>9</v>
      </c>
      <c r="B7" s="42">
        <v>1</v>
      </c>
      <c r="C7" s="42" t="s">
        <v>13</v>
      </c>
      <c r="D7" s="43">
        <v>270</v>
      </c>
      <c r="E7" s="43">
        <v>22636</v>
      </c>
      <c r="F7" s="44">
        <v>1.2E-2</v>
      </c>
      <c r="G7" s="61" t="s">
        <v>14</v>
      </c>
      <c r="H7" s="19">
        <v>2550</v>
      </c>
    </row>
    <row r="8" spans="1:8" ht="15" thickBot="1" x14ac:dyDescent="0.4">
      <c r="A8" s="47" t="s">
        <v>14</v>
      </c>
      <c r="B8" s="48">
        <v>48</v>
      </c>
      <c r="C8" s="48" t="s">
        <v>15</v>
      </c>
      <c r="D8" s="49">
        <v>2550</v>
      </c>
      <c r="E8" s="49">
        <v>2550</v>
      </c>
      <c r="F8" s="50">
        <v>1</v>
      </c>
      <c r="G8" s="61" t="s">
        <v>37</v>
      </c>
      <c r="H8" s="19">
        <v>1950</v>
      </c>
    </row>
    <row r="9" spans="1:8" ht="15" thickBot="1" x14ac:dyDescent="0.4">
      <c r="A9" s="47" t="s">
        <v>16</v>
      </c>
      <c r="B9" s="48">
        <v>17</v>
      </c>
      <c r="C9" s="48" t="s">
        <v>17</v>
      </c>
      <c r="D9" s="49">
        <v>1560</v>
      </c>
      <c r="E9" s="49">
        <v>1560</v>
      </c>
      <c r="F9" s="50">
        <v>1</v>
      </c>
      <c r="G9" s="61" t="s">
        <v>40</v>
      </c>
      <c r="H9" s="19">
        <v>1800</v>
      </c>
    </row>
    <row r="10" spans="1:8" ht="15" thickBot="1" x14ac:dyDescent="0.4">
      <c r="A10" s="47" t="s">
        <v>18</v>
      </c>
      <c r="B10" s="48">
        <v>40</v>
      </c>
      <c r="C10" s="48" t="s">
        <v>19</v>
      </c>
      <c r="D10" s="49">
        <v>1472</v>
      </c>
      <c r="E10" s="49">
        <v>1472</v>
      </c>
      <c r="F10" s="50">
        <v>1</v>
      </c>
      <c r="G10" s="61" t="s">
        <v>16</v>
      </c>
      <c r="H10" s="19">
        <v>1560</v>
      </c>
    </row>
    <row r="11" spans="1:8" x14ac:dyDescent="0.35">
      <c r="A11" s="37" t="s">
        <v>20</v>
      </c>
      <c r="B11" s="38">
        <v>4</v>
      </c>
      <c r="C11" s="38" t="s">
        <v>21</v>
      </c>
      <c r="D11" s="39">
        <v>660</v>
      </c>
      <c r="E11" s="39">
        <v>1160</v>
      </c>
      <c r="F11" s="40">
        <v>0.56899999999999995</v>
      </c>
      <c r="G11" s="61" t="s">
        <v>18</v>
      </c>
      <c r="H11" s="19">
        <v>1472</v>
      </c>
    </row>
    <row r="12" spans="1:8" ht="15" thickBot="1" x14ac:dyDescent="0.4">
      <c r="A12" s="41" t="s">
        <v>20</v>
      </c>
      <c r="B12" s="42">
        <v>3</v>
      </c>
      <c r="C12" s="42" t="s">
        <v>22</v>
      </c>
      <c r="D12" s="43">
        <v>500</v>
      </c>
      <c r="E12" s="43">
        <v>1160</v>
      </c>
      <c r="F12" s="44">
        <v>0.43099999999999999</v>
      </c>
      <c r="G12" s="61" t="s">
        <v>20</v>
      </c>
      <c r="H12" s="19">
        <v>1160</v>
      </c>
    </row>
    <row r="13" spans="1:8" ht="15" thickBot="1" x14ac:dyDescent="0.4">
      <c r="A13" s="33" t="s">
        <v>23</v>
      </c>
      <c r="B13" s="34">
        <v>72</v>
      </c>
      <c r="C13" s="34" t="s">
        <v>24</v>
      </c>
      <c r="D13" s="35">
        <v>3132</v>
      </c>
      <c r="E13" s="35">
        <v>3132</v>
      </c>
      <c r="F13" s="36">
        <v>1</v>
      </c>
      <c r="G13" s="61" t="s">
        <v>6</v>
      </c>
      <c r="H13" s="19">
        <v>890</v>
      </c>
    </row>
    <row r="14" spans="1:8" x14ac:dyDescent="0.35">
      <c r="A14" s="37" t="s">
        <v>25</v>
      </c>
      <c r="B14" s="38">
        <v>51</v>
      </c>
      <c r="C14" s="38" t="s">
        <v>26</v>
      </c>
      <c r="D14" s="39">
        <v>2120</v>
      </c>
      <c r="E14" s="39">
        <v>3660</v>
      </c>
      <c r="F14" s="40">
        <v>0.57899999999999996</v>
      </c>
      <c r="G14" s="61" t="s">
        <v>35</v>
      </c>
      <c r="H14" s="19">
        <v>533.75</v>
      </c>
    </row>
    <row r="15" spans="1:8" x14ac:dyDescent="0.35">
      <c r="A15" s="45" t="s">
        <v>25</v>
      </c>
      <c r="B15" s="6">
        <v>7</v>
      </c>
      <c r="C15" s="6" t="s">
        <v>27</v>
      </c>
      <c r="D15" s="22">
        <v>1200</v>
      </c>
      <c r="E15" s="22">
        <v>3660</v>
      </c>
      <c r="F15" s="46">
        <v>0.32800000000000001</v>
      </c>
      <c r="G15" s="61" t="s">
        <v>30</v>
      </c>
      <c r="H15" s="19">
        <v>280</v>
      </c>
    </row>
    <row r="16" spans="1:8" x14ac:dyDescent="0.35">
      <c r="A16" s="45" t="s">
        <v>25</v>
      </c>
      <c r="B16" s="6">
        <v>74</v>
      </c>
      <c r="C16" s="6" t="s">
        <v>29</v>
      </c>
      <c r="D16" s="22">
        <v>200</v>
      </c>
      <c r="E16" s="22">
        <v>3660</v>
      </c>
      <c r="F16" s="46">
        <v>5.5E-2</v>
      </c>
      <c r="G16" s="61" t="s">
        <v>102</v>
      </c>
      <c r="H16" s="19">
        <v>49912.25</v>
      </c>
    </row>
    <row r="17" spans="1:6" ht="15" thickBot="1" x14ac:dyDescent="0.4">
      <c r="A17" s="41" t="s">
        <v>25</v>
      </c>
      <c r="B17" s="42">
        <v>80</v>
      </c>
      <c r="C17" s="42" t="s">
        <v>28</v>
      </c>
      <c r="D17" s="43">
        <v>140</v>
      </c>
      <c r="E17" s="43">
        <v>3660</v>
      </c>
      <c r="F17" s="44">
        <v>3.7999999999999999E-2</v>
      </c>
    </row>
    <row r="18" spans="1:6" ht="15" thickBot="1" x14ac:dyDescent="0.4">
      <c r="A18" s="33" t="s">
        <v>30</v>
      </c>
      <c r="B18" s="34">
        <v>52</v>
      </c>
      <c r="C18" s="34" t="s">
        <v>31</v>
      </c>
      <c r="D18" s="35">
        <v>280</v>
      </c>
      <c r="E18" s="35">
        <v>280</v>
      </c>
      <c r="F18" s="36">
        <v>1</v>
      </c>
    </row>
    <row r="19" spans="1:6" x14ac:dyDescent="0.35">
      <c r="A19" s="37" t="s">
        <v>32</v>
      </c>
      <c r="B19" s="38">
        <v>20</v>
      </c>
      <c r="C19" s="84" t="s">
        <v>33</v>
      </c>
      <c r="D19" s="39">
        <v>3240</v>
      </c>
      <c r="E19" s="39">
        <v>5490</v>
      </c>
      <c r="F19" s="40">
        <v>0.59</v>
      </c>
    </row>
    <row r="20" spans="1:6" ht="15" thickBot="1" x14ac:dyDescent="0.4">
      <c r="A20" s="41" t="s">
        <v>32</v>
      </c>
      <c r="B20" s="42">
        <v>6</v>
      </c>
      <c r="C20" s="42" t="s">
        <v>34</v>
      </c>
      <c r="D20" s="43">
        <v>2250</v>
      </c>
      <c r="E20" s="43">
        <v>5490</v>
      </c>
      <c r="F20" s="44">
        <v>0.41</v>
      </c>
    </row>
    <row r="21" spans="1:6" ht="15" thickBot="1" x14ac:dyDescent="0.4">
      <c r="A21" s="33" t="s">
        <v>35</v>
      </c>
      <c r="B21" s="34">
        <v>5</v>
      </c>
      <c r="C21" s="34" t="s">
        <v>36</v>
      </c>
      <c r="D21" s="35">
        <v>533.75</v>
      </c>
      <c r="E21" s="35">
        <v>533.75</v>
      </c>
      <c r="F21" s="36">
        <v>1</v>
      </c>
    </row>
    <row r="22" spans="1:6" x14ac:dyDescent="0.35">
      <c r="A22" s="37" t="s">
        <v>37</v>
      </c>
      <c r="B22" s="38">
        <v>57</v>
      </c>
      <c r="C22" s="38" t="s">
        <v>38</v>
      </c>
      <c r="D22" s="39">
        <v>1950</v>
      </c>
      <c r="E22" s="39">
        <v>1950</v>
      </c>
      <c r="F22" s="40">
        <v>1</v>
      </c>
    </row>
    <row r="23" spans="1:6" ht="15" thickBot="1" x14ac:dyDescent="0.4">
      <c r="A23" s="41" t="s">
        <v>37</v>
      </c>
      <c r="B23" s="42">
        <v>56</v>
      </c>
      <c r="C23" s="42" t="s">
        <v>39</v>
      </c>
      <c r="D23" s="43">
        <v>0</v>
      </c>
      <c r="E23" s="43">
        <v>1950</v>
      </c>
      <c r="F23" s="44">
        <v>0</v>
      </c>
    </row>
    <row r="24" spans="1:6" x14ac:dyDescent="0.35">
      <c r="A24" s="2" t="s">
        <v>40</v>
      </c>
      <c r="B24" s="3">
        <v>8</v>
      </c>
      <c r="C24" s="3" t="s">
        <v>41</v>
      </c>
      <c r="D24" s="21">
        <v>1800</v>
      </c>
      <c r="E24" s="21">
        <v>1800</v>
      </c>
      <c r="F24" s="31">
        <v>1</v>
      </c>
    </row>
    <row r="25" spans="1:6" x14ac:dyDescent="0.35">
      <c r="A25" s="7" t="s">
        <v>42</v>
      </c>
      <c r="B25" s="8">
        <v>41</v>
      </c>
      <c r="C25" s="8" t="s">
        <v>43</v>
      </c>
      <c r="D25" s="23">
        <v>2798.5</v>
      </c>
      <c r="E25" s="23">
        <v>2798.5</v>
      </c>
      <c r="F25" s="32">
        <v>1</v>
      </c>
    </row>
  </sheetData>
  <phoneticPr fontId="1" type="noConversion"/>
  <conditionalFormatting sqref="D1:D104857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:F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:E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3E2C-68F9-49D9-98C9-76B7EE7A2B26}">
  <sheetPr>
    <tabColor theme="4" tint="0.79998168889431442"/>
  </sheetPr>
  <dimension ref="A1:G50"/>
  <sheetViews>
    <sheetView zoomScale="83" workbookViewId="0"/>
  </sheetViews>
  <sheetFormatPr defaultRowHeight="14.5" x14ac:dyDescent="0.35"/>
  <cols>
    <col min="1" max="1" width="23" bestFit="1" customWidth="1"/>
    <col min="2" max="2" width="36" bestFit="1" customWidth="1"/>
    <col min="3" max="3" width="10.6328125" style="19" bestFit="1" customWidth="1"/>
    <col min="4" max="4" width="25.81640625" bestFit="1" customWidth="1"/>
    <col min="5" max="5" width="14.7265625" style="19" bestFit="1" customWidth="1"/>
    <col min="6" max="6" width="25.54296875" bestFit="1" customWidth="1"/>
    <col min="7" max="7" width="14.453125" style="19" bestFit="1" customWidth="1"/>
  </cols>
  <sheetData>
    <row r="1" spans="1:7" x14ac:dyDescent="0.35">
      <c r="A1" s="2" t="s">
        <v>0</v>
      </c>
      <c r="B1" s="3" t="s">
        <v>2</v>
      </c>
      <c r="C1" s="21" t="s">
        <v>44</v>
      </c>
      <c r="D1" s="3" t="s">
        <v>45</v>
      </c>
      <c r="E1" s="21" t="s">
        <v>46</v>
      </c>
      <c r="F1" s="3" t="s">
        <v>47</v>
      </c>
      <c r="G1" s="24" t="s">
        <v>48</v>
      </c>
    </row>
    <row r="2" spans="1:7" x14ac:dyDescent="0.35">
      <c r="A2" s="5" t="s">
        <v>6</v>
      </c>
      <c r="B2" s="6" t="s">
        <v>49</v>
      </c>
      <c r="C2" s="22">
        <v>12.49</v>
      </c>
      <c r="D2" s="6" t="s">
        <v>50</v>
      </c>
      <c r="E2" s="22">
        <v>11.92</v>
      </c>
      <c r="F2" s="6" t="s">
        <v>51</v>
      </c>
      <c r="G2" s="25">
        <v>11.244999999999999</v>
      </c>
    </row>
    <row r="3" spans="1:7" x14ac:dyDescent="0.35">
      <c r="A3" s="5" t="s">
        <v>6</v>
      </c>
      <c r="B3" s="6" t="s">
        <v>52</v>
      </c>
      <c r="C3" s="22">
        <v>15.99</v>
      </c>
      <c r="D3" s="6" t="s">
        <v>50</v>
      </c>
      <c r="E3" s="22">
        <v>11.92</v>
      </c>
      <c r="F3" s="6" t="s">
        <v>51</v>
      </c>
      <c r="G3" s="25">
        <v>11.244999999999999</v>
      </c>
    </row>
    <row r="4" spans="1:7" x14ac:dyDescent="0.35">
      <c r="A4" s="5" t="s">
        <v>6</v>
      </c>
      <c r="B4" s="6" t="s">
        <v>7</v>
      </c>
      <c r="C4" s="22">
        <v>9.1999999999999993</v>
      </c>
      <c r="D4" s="6" t="s">
        <v>53</v>
      </c>
      <c r="E4" s="22">
        <v>11.92</v>
      </c>
      <c r="F4" s="6" t="s">
        <v>54</v>
      </c>
      <c r="G4" s="25">
        <v>11.244999999999999</v>
      </c>
    </row>
    <row r="5" spans="1:7" x14ac:dyDescent="0.35">
      <c r="A5" s="5" t="s">
        <v>6</v>
      </c>
      <c r="B5" s="6" t="s">
        <v>8</v>
      </c>
      <c r="C5" s="22">
        <v>10</v>
      </c>
      <c r="D5" s="6" t="s">
        <v>53</v>
      </c>
      <c r="E5" s="22">
        <v>11.92</v>
      </c>
      <c r="F5" s="6" t="s">
        <v>54</v>
      </c>
      <c r="G5" s="25">
        <v>11.244999999999999</v>
      </c>
    </row>
    <row r="6" spans="1:7" x14ac:dyDescent="0.35">
      <c r="A6" s="5" t="s">
        <v>9</v>
      </c>
      <c r="B6" s="82" t="s">
        <v>11</v>
      </c>
      <c r="C6" s="22">
        <v>14</v>
      </c>
      <c r="D6" s="6" t="s">
        <v>53</v>
      </c>
      <c r="E6" s="22">
        <v>16.998000000000001</v>
      </c>
      <c r="F6" s="6" t="s">
        <v>55</v>
      </c>
      <c r="G6" s="25">
        <v>14</v>
      </c>
    </row>
    <row r="7" spans="1:7" x14ac:dyDescent="0.35">
      <c r="A7" s="5" t="s">
        <v>9</v>
      </c>
      <c r="B7" s="6" t="s">
        <v>13</v>
      </c>
      <c r="C7" s="22">
        <v>18</v>
      </c>
      <c r="D7" s="6" t="s">
        <v>50</v>
      </c>
      <c r="E7" s="22">
        <v>16.998000000000001</v>
      </c>
      <c r="F7" s="6" t="s">
        <v>51</v>
      </c>
      <c r="G7" s="25">
        <v>14</v>
      </c>
    </row>
    <row r="8" spans="1:7" x14ac:dyDescent="0.35">
      <c r="A8" s="5" t="s">
        <v>9</v>
      </c>
      <c r="B8" s="80" t="s">
        <v>10</v>
      </c>
      <c r="C8" s="22">
        <v>46</v>
      </c>
      <c r="D8" s="6" t="s">
        <v>50</v>
      </c>
      <c r="E8" s="22">
        <v>16.998000000000001</v>
      </c>
      <c r="F8" s="6" t="s">
        <v>51</v>
      </c>
      <c r="G8" s="25">
        <v>14</v>
      </c>
    </row>
    <row r="9" spans="1:7" x14ac:dyDescent="0.35">
      <c r="A9" s="5" t="s">
        <v>9</v>
      </c>
      <c r="B9" s="6" t="s">
        <v>12</v>
      </c>
      <c r="C9" s="22">
        <v>2.99</v>
      </c>
      <c r="D9" s="6" t="s">
        <v>53</v>
      </c>
      <c r="E9" s="22">
        <v>16.998000000000001</v>
      </c>
      <c r="F9" s="6" t="s">
        <v>54</v>
      </c>
      <c r="G9" s="25">
        <v>14</v>
      </c>
    </row>
    <row r="10" spans="1:7" x14ac:dyDescent="0.35">
      <c r="A10" s="5" t="s">
        <v>9</v>
      </c>
      <c r="B10" s="6" t="s">
        <v>56</v>
      </c>
      <c r="C10" s="22">
        <v>4</v>
      </c>
      <c r="D10" s="6" t="s">
        <v>53</v>
      </c>
      <c r="E10" s="22">
        <v>16.998000000000001</v>
      </c>
      <c r="F10" s="6" t="s">
        <v>54</v>
      </c>
      <c r="G10" s="25">
        <v>14</v>
      </c>
    </row>
    <row r="11" spans="1:7" x14ac:dyDescent="0.35">
      <c r="A11" s="5" t="s">
        <v>14</v>
      </c>
      <c r="B11" s="6" t="s">
        <v>15</v>
      </c>
      <c r="C11" s="22">
        <v>12.75</v>
      </c>
      <c r="D11" s="6" t="s">
        <v>57</v>
      </c>
      <c r="E11" s="22">
        <v>12.75</v>
      </c>
      <c r="F11" s="6" t="s">
        <v>55</v>
      </c>
      <c r="G11" s="25">
        <v>12.75</v>
      </c>
    </row>
    <row r="12" spans="1:7" x14ac:dyDescent="0.35">
      <c r="A12" s="5" t="s">
        <v>16</v>
      </c>
      <c r="B12" s="6" t="s">
        <v>58</v>
      </c>
      <c r="C12" s="22">
        <v>2</v>
      </c>
      <c r="D12" s="6" t="s">
        <v>53</v>
      </c>
      <c r="E12" s="22">
        <v>6.1875</v>
      </c>
      <c r="F12" s="6" t="s">
        <v>51</v>
      </c>
      <c r="G12" s="25">
        <v>1.5</v>
      </c>
    </row>
    <row r="13" spans="1:7" x14ac:dyDescent="0.35">
      <c r="A13" s="5" t="s">
        <v>16</v>
      </c>
      <c r="B13" s="6" t="s">
        <v>59</v>
      </c>
      <c r="C13" s="22">
        <v>1.2</v>
      </c>
      <c r="D13" s="6" t="s">
        <v>53</v>
      </c>
      <c r="E13" s="22">
        <v>6.1875</v>
      </c>
      <c r="F13" s="6" t="s">
        <v>54</v>
      </c>
      <c r="G13" s="25">
        <v>1.5</v>
      </c>
    </row>
    <row r="14" spans="1:7" x14ac:dyDescent="0.35">
      <c r="A14" s="5" t="s">
        <v>16</v>
      </c>
      <c r="B14" s="6" t="s">
        <v>17</v>
      </c>
      <c r="C14" s="22">
        <v>39</v>
      </c>
      <c r="D14" s="6" t="s">
        <v>50</v>
      </c>
      <c r="E14" s="22">
        <v>6.1875</v>
      </c>
      <c r="F14" s="6" t="s">
        <v>51</v>
      </c>
      <c r="G14" s="25">
        <v>1.5</v>
      </c>
    </row>
    <row r="15" spans="1:7" x14ac:dyDescent="0.35">
      <c r="A15" s="5" t="s">
        <v>16</v>
      </c>
      <c r="B15" s="6" t="s">
        <v>60</v>
      </c>
      <c r="C15" s="22">
        <v>1.2</v>
      </c>
      <c r="D15" s="6" t="s">
        <v>53</v>
      </c>
      <c r="E15" s="22">
        <v>6.1875</v>
      </c>
      <c r="F15" s="6" t="s">
        <v>54</v>
      </c>
      <c r="G15" s="25">
        <v>1.5</v>
      </c>
    </row>
    <row r="16" spans="1:7" x14ac:dyDescent="0.35">
      <c r="A16" s="5" t="s">
        <v>16</v>
      </c>
      <c r="B16" s="6" t="s">
        <v>61</v>
      </c>
      <c r="C16" s="22">
        <v>1.5</v>
      </c>
      <c r="D16" s="6" t="s">
        <v>53</v>
      </c>
      <c r="E16" s="22">
        <v>6.1875</v>
      </c>
      <c r="F16" s="6" t="s">
        <v>55</v>
      </c>
      <c r="G16" s="25">
        <v>1.5</v>
      </c>
    </row>
    <row r="17" spans="1:7" x14ac:dyDescent="0.35">
      <c r="A17" s="5" t="s">
        <v>16</v>
      </c>
      <c r="B17" s="6" t="s">
        <v>62</v>
      </c>
      <c r="C17" s="22">
        <v>1.3</v>
      </c>
      <c r="D17" s="6" t="s">
        <v>53</v>
      </c>
      <c r="E17" s="22">
        <v>6.1875</v>
      </c>
      <c r="F17" s="6" t="s">
        <v>54</v>
      </c>
      <c r="G17" s="25">
        <v>1.5</v>
      </c>
    </row>
    <row r="18" spans="1:7" x14ac:dyDescent="0.35">
      <c r="A18" s="5" t="s">
        <v>16</v>
      </c>
      <c r="B18" s="6" t="s">
        <v>63</v>
      </c>
      <c r="C18" s="22">
        <v>1.5</v>
      </c>
      <c r="D18" s="6" t="s">
        <v>53</v>
      </c>
      <c r="E18" s="22">
        <v>6.1875</v>
      </c>
      <c r="F18" s="6" t="s">
        <v>55</v>
      </c>
      <c r="G18" s="25">
        <v>1.5</v>
      </c>
    </row>
    <row r="19" spans="1:7" x14ac:dyDescent="0.35">
      <c r="A19" s="5" t="s">
        <v>16</v>
      </c>
      <c r="B19" s="6" t="s">
        <v>64</v>
      </c>
      <c r="C19" s="22">
        <v>1.8</v>
      </c>
      <c r="D19" s="6" t="s">
        <v>53</v>
      </c>
      <c r="E19" s="22">
        <v>6.1875</v>
      </c>
      <c r="F19" s="6" t="s">
        <v>51</v>
      </c>
      <c r="G19" s="25">
        <v>1.5</v>
      </c>
    </row>
    <row r="20" spans="1:7" x14ac:dyDescent="0.35">
      <c r="A20" s="5" t="s">
        <v>18</v>
      </c>
      <c r="B20" s="6" t="s">
        <v>19</v>
      </c>
      <c r="C20" s="22">
        <v>18.399999999999999</v>
      </c>
      <c r="D20" s="6" t="s">
        <v>50</v>
      </c>
      <c r="E20" s="22">
        <v>8.1333333299999993</v>
      </c>
      <c r="F20" s="6" t="s">
        <v>51</v>
      </c>
      <c r="G20" s="25">
        <v>4</v>
      </c>
    </row>
    <row r="21" spans="1:7" x14ac:dyDescent="0.35">
      <c r="A21" s="5" t="s">
        <v>18</v>
      </c>
      <c r="B21" s="6" t="s">
        <v>65</v>
      </c>
      <c r="C21" s="22">
        <v>4</v>
      </c>
      <c r="D21" s="6" t="s">
        <v>53</v>
      </c>
      <c r="E21" s="22">
        <v>8.1333333299999993</v>
      </c>
      <c r="F21" s="6" t="s">
        <v>55</v>
      </c>
      <c r="G21" s="25">
        <v>4</v>
      </c>
    </row>
    <row r="22" spans="1:7" x14ac:dyDescent="0.35">
      <c r="A22" s="5" t="s">
        <v>18</v>
      </c>
      <c r="B22" s="6" t="s">
        <v>66</v>
      </c>
      <c r="C22" s="22">
        <v>2</v>
      </c>
      <c r="D22" s="6" t="s">
        <v>53</v>
      </c>
      <c r="E22" s="22">
        <v>8.1333333299999993</v>
      </c>
      <c r="F22" s="6" t="s">
        <v>54</v>
      </c>
      <c r="G22" s="25">
        <v>4</v>
      </c>
    </row>
    <row r="23" spans="1:7" x14ac:dyDescent="0.35">
      <c r="A23" s="5" t="s">
        <v>67</v>
      </c>
      <c r="B23" s="6" t="s">
        <v>68</v>
      </c>
      <c r="C23" s="22">
        <v>4</v>
      </c>
      <c r="D23" s="6" t="s">
        <v>53</v>
      </c>
      <c r="E23" s="22">
        <v>4.5</v>
      </c>
      <c r="F23" s="6" t="s">
        <v>54</v>
      </c>
      <c r="G23" s="25">
        <v>4.5</v>
      </c>
    </row>
    <row r="24" spans="1:7" x14ac:dyDescent="0.35">
      <c r="A24" s="5" t="s">
        <v>67</v>
      </c>
      <c r="B24" s="6" t="s">
        <v>69</v>
      </c>
      <c r="C24" s="22">
        <v>5</v>
      </c>
      <c r="D24" s="6" t="s">
        <v>50</v>
      </c>
      <c r="E24" s="22">
        <v>4.5</v>
      </c>
      <c r="F24" s="6" t="s">
        <v>51</v>
      </c>
      <c r="G24" s="25">
        <v>4.5</v>
      </c>
    </row>
    <row r="25" spans="1:7" x14ac:dyDescent="0.35">
      <c r="A25" s="5" t="s">
        <v>70</v>
      </c>
      <c r="B25" s="6" t="s">
        <v>71</v>
      </c>
      <c r="C25" s="22">
        <v>1.8</v>
      </c>
      <c r="D25" s="6" t="s">
        <v>57</v>
      </c>
      <c r="E25" s="22">
        <v>1.8</v>
      </c>
      <c r="F25" s="6" t="s">
        <v>55</v>
      </c>
      <c r="G25" s="25">
        <v>1.8</v>
      </c>
    </row>
    <row r="26" spans="1:7" x14ac:dyDescent="0.35">
      <c r="A26" s="5" t="s">
        <v>20</v>
      </c>
      <c r="B26" s="6" t="s">
        <v>21</v>
      </c>
      <c r="C26" s="22">
        <v>22</v>
      </c>
      <c r="D26" s="6" t="s">
        <v>50</v>
      </c>
      <c r="E26" s="22">
        <v>15</v>
      </c>
      <c r="F26" s="6" t="s">
        <v>51</v>
      </c>
      <c r="G26" s="25">
        <v>13</v>
      </c>
    </row>
    <row r="27" spans="1:7" x14ac:dyDescent="0.35">
      <c r="A27" s="5" t="s">
        <v>20</v>
      </c>
      <c r="B27" s="6" t="s">
        <v>72</v>
      </c>
      <c r="C27" s="22">
        <v>13</v>
      </c>
      <c r="D27" s="6" t="s">
        <v>53</v>
      </c>
      <c r="E27" s="22">
        <v>15</v>
      </c>
      <c r="F27" s="6" t="s">
        <v>55</v>
      </c>
      <c r="G27" s="25">
        <v>13</v>
      </c>
    </row>
    <row r="28" spans="1:7" x14ac:dyDescent="0.35">
      <c r="A28" s="5" t="s">
        <v>20</v>
      </c>
      <c r="B28" s="6" t="s">
        <v>22</v>
      </c>
      <c r="C28" s="22">
        <v>10</v>
      </c>
      <c r="D28" s="6" t="s">
        <v>53</v>
      </c>
      <c r="E28" s="22">
        <v>15</v>
      </c>
      <c r="F28" s="6" t="s">
        <v>54</v>
      </c>
      <c r="G28" s="25">
        <v>13</v>
      </c>
    </row>
    <row r="29" spans="1:7" x14ac:dyDescent="0.35">
      <c r="A29" s="5" t="s">
        <v>23</v>
      </c>
      <c r="B29" s="6" t="s">
        <v>24</v>
      </c>
      <c r="C29" s="22">
        <v>34.799999999999997</v>
      </c>
      <c r="D29" s="6" t="s">
        <v>57</v>
      </c>
      <c r="E29" s="22">
        <v>34.799999999999997</v>
      </c>
      <c r="F29" s="6" t="s">
        <v>55</v>
      </c>
      <c r="G29" s="25">
        <v>34.799999999999997</v>
      </c>
    </row>
    <row r="30" spans="1:7" x14ac:dyDescent="0.35">
      <c r="A30" s="5" t="s">
        <v>25</v>
      </c>
      <c r="B30" s="6" t="s">
        <v>29</v>
      </c>
      <c r="C30" s="22">
        <v>10</v>
      </c>
      <c r="D30" s="6" t="s">
        <v>53</v>
      </c>
      <c r="E30" s="22">
        <v>23.95</v>
      </c>
      <c r="F30" s="6" t="s">
        <v>54</v>
      </c>
      <c r="G30" s="25">
        <v>23.25</v>
      </c>
    </row>
    <row r="31" spans="1:7" x14ac:dyDescent="0.35">
      <c r="A31" s="5" t="s">
        <v>25</v>
      </c>
      <c r="B31" s="6" t="s">
        <v>26</v>
      </c>
      <c r="C31" s="22">
        <v>53</v>
      </c>
      <c r="D31" s="6" t="s">
        <v>50</v>
      </c>
      <c r="E31" s="22">
        <v>23.95</v>
      </c>
      <c r="F31" s="6" t="s">
        <v>51</v>
      </c>
      <c r="G31" s="25">
        <v>23.25</v>
      </c>
    </row>
    <row r="32" spans="1:7" x14ac:dyDescent="0.35">
      <c r="A32" s="5" t="s">
        <v>25</v>
      </c>
      <c r="B32" s="6" t="s">
        <v>27</v>
      </c>
      <c r="C32" s="22">
        <v>30</v>
      </c>
      <c r="D32" s="6" t="s">
        <v>50</v>
      </c>
      <c r="E32" s="22">
        <v>23.95</v>
      </c>
      <c r="F32" s="6" t="s">
        <v>51</v>
      </c>
      <c r="G32" s="25">
        <v>23.25</v>
      </c>
    </row>
    <row r="33" spans="1:7" x14ac:dyDescent="0.35">
      <c r="A33" s="5" t="s">
        <v>25</v>
      </c>
      <c r="B33" s="6" t="s">
        <v>28</v>
      </c>
      <c r="C33" s="22">
        <v>3.5</v>
      </c>
      <c r="D33" s="6" t="s">
        <v>53</v>
      </c>
      <c r="E33" s="22">
        <v>23.95</v>
      </c>
      <c r="F33" s="6" t="s">
        <v>54</v>
      </c>
      <c r="G33" s="25">
        <v>23.25</v>
      </c>
    </row>
    <row r="34" spans="1:7" x14ac:dyDescent="0.35">
      <c r="A34" s="5" t="s">
        <v>25</v>
      </c>
      <c r="B34" s="6" t="s">
        <v>73</v>
      </c>
      <c r="C34" s="22">
        <v>23.25</v>
      </c>
      <c r="D34" s="6" t="s">
        <v>53</v>
      </c>
      <c r="E34" s="22">
        <v>23.95</v>
      </c>
      <c r="F34" s="6" t="s">
        <v>55</v>
      </c>
      <c r="G34" s="25">
        <v>23.25</v>
      </c>
    </row>
    <row r="35" spans="1:7" x14ac:dyDescent="0.35">
      <c r="A35" s="5" t="s">
        <v>30</v>
      </c>
      <c r="B35" s="6" t="s">
        <v>31</v>
      </c>
      <c r="C35" s="22">
        <v>7</v>
      </c>
      <c r="D35" s="6" t="s">
        <v>57</v>
      </c>
      <c r="E35" s="22">
        <v>7</v>
      </c>
      <c r="F35" s="6" t="s">
        <v>55</v>
      </c>
      <c r="G35" s="25">
        <v>7</v>
      </c>
    </row>
    <row r="36" spans="1:7" x14ac:dyDescent="0.35">
      <c r="A36" s="5" t="s">
        <v>32</v>
      </c>
      <c r="B36" s="6" t="s">
        <v>34</v>
      </c>
      <c r="C36" s="22">
        <v>25</v>
      </c>
      <c r="D36" s="6" t="s">
        <v>53</v>
      </c>
      <c r="E36" s="22">
        <v>53</v>
      </c>
      <c r="F36" s="6" t="s">
        <v>54</v>
      </c>
      <c r="G36" s="25">
        <v>53</v>
      </c>
    </row>
    <row r="37" spans="1:7" x14ac:dyDescent="0.35">
      <c r="A37" s="5" t="s">
        <v>32</v>
      </c>
      <c r="B37" s="85" t="s">
        <v>33</v>
      </c>
      <c r="C37" s="22">
        <v>81</v>
      </c>
      <c r="D37" s="6" t="s">
        <v>50</v>
      </c>
      <c r="E37" s="22">
        <v>53</v>
      </c>
      <c r="F37" s="6" t="s">
        <v>51</v>
      </c>
      <c r="G37" s="25">
        <v>53</v>
      </c>
    </row>
    <row r="38" spans="1:7" x14ac:dyDescent="0.35">
      <c r="A38" s="5" t="s">
        <v>35</v>
      </c>
      <c r="B38" s="6" t="s">
        <v>36</v>
      </c>
      <c r="C38" s="22">
        <v>21.35</v>
      </c>
      <c r="D38" s="6" t="s">
        <v>57</v>
      </c>
      <c r="E38" s="22">
        <v>21.35</v>
      </c>
      <c r="F38" s="6" t="s">
        <v>55</v>
      </c>
      <c r="G38" s="25">
        <v>21.35</v>
      </c>
    </row>
    <row r="39" spans="1:7" x14ac:dyDescent="0.35">
      <c r="A39" s="5" t="s">
        <v>37</v>
      </c>
      <c r="B39" s="6" t="s">
        <v>39</v>
      </c>
      <c r="C39" s="22">
        <v>38</v>
      </c>
      <c r="D39" s="6" t="s">
        <v>50</v>
      </c>
      <c r="E39" s="22">
        <v>28.75</v>
      </c>
      <c r="F39" s="6" t="s">
        <v>51</v>
      </c>
      <c r="G39" s="25">
        <v>28.75</v>
      </c>
    </row>
    <row r="40" spans="1:7" x14ac:dyDescent="0.35">
      <c r="A40" s="5" t="s">
        <v>37</v>
      </c>
      <c r="B40" s="6" t="s">
        <v>38</v>
      </c>
      <c r="C40" s="22">
        <v>19.5</v>
      </c>
      <c r="D40" s="6" t="s">
        <v>53</v>
      </c>
      <c r="E40" s="22">
        <v>28.75</v>
      </c>
      <c r="F40" s="6" t="s">
        <v>54</v>
      </c>
      <c r="G40" s="25">
        <v>28.75</v>
      </c>
    </row>
    <row r="41" spans="1:7" x14ac:dyDescent="0.35">
      <c r="A41" s="5" t="s">
        <v>40</v>
      </c>
      <c r="B41" s="6" t="s">
        <v>41</v>
      </c>
      <c r="C41" s="22">
        <v>40</v>
      </c>
      <c r="D41" s="6" t="s">
        <v>50</v>
      </c>
      <c r="E41" s="22">
        <v>26.016666669999999</v>
      </c>
      <c r="F41" s="6" t="s">
        <v>51</v>
      </c>
      <c r="G41" s="25">
        <v>21.05</v>
      </c>
    </row>
    <row r="42" spans="1:7" x14ac:dyDescent="0.35">
      <c r="A42" s="5" t="s">
        <v>40</v>
      </c>
      <c r="B42" s="6" t="s">
        <v>74</v>
      </c>
      <c r="C42" s="22">
        <v>21.05</v>
      </c>
      <c r="D42" s="6" t="s">
        <v>53</v>
      </c>
      <c r="E42" s="22">
        <v>26.016666669999999</v>
      </c>
      <c r="F42" s="6" t="s">
        <v>55</v>
      </c>
      <c r="G42" s="25">
        <v>21.05</v>
      </c>
    </row>
    <row r="43" spans="1:7" x14ac:dyDescent="0.35">
      <c r="A43" s="5" t="s">
        <v>40</v>
      </c>
      <c r="B43" s="6" t="s">
        <v>75</v>
      </c>
      <c r="C43" s="22">
        <v>17</v>
      </c>
      <c r="D43" s="6" t="s">
        <v>53</v>
      </c>
      <c r="E43" s="22">
        <v>26.016666669999999</v>
      </c>
      <c r="F43" s="6" t="s">
        <v>54</v>
      </c>
      <c r="G43" s="25">
        <v>21.05</v>
      </c>
    </row>
    <row r="44" spans="1:7" x14ac:dyDescent="0.35">
      <c r="A44" s="5" t="s">
        <v>42</v>
      </c>
      <c r="B44" s="6" t="s">
        <v>76</v>
      </c>
      <c r="C44" s="22">
        <v>1.95</v>
      </c>
      <c r="D44" s="6" t="s">
        <v>53</v>
      </c>
      <c r="E44" s="22">
        <v>4.4966666699999998</v>
      </c>
      <c r="F44" s="6" t="s">
        <v>55</v>
      </c>
      <c r="G44" s="25">
        <v>1.95</v>
      </c>
    </row>
    <row r="45" spans="1:7" x14ac:dyDescent="0.35">
      <c r="A45" s="5" t="s">
        <v>42</v>
      </c>
      <c r="B45" s="6" t="s">
        <v>43</v>
      </c>
      <c r="C45" s="22">
        <v>9.65</v>
      </c>
      <c r="D45" s="6" t="s">
        <v>50</v>
      </c>
      <c r="E45" s="22">
        <v>4.4966666699999998</v>
      </c>
      <c r="F45" s="6" t="s">
        <v>51</v>
      </c>
      <c r="G45" s="25">
        <v>1.95</v>
      </c>
    </row>
    <row r="46" spans="1:7" ht="15" thickBot="1" x14ac:dyDescent="0.4">
      <c r="A46" s="7" t="s">
        <v>42</v>
      </c>
      <c r="B46" s="8" t="s">
        <v>77</v>
      </c>
      <c r="C46" s="23">
        <v>1.89</v>
      </c>
      <c r="D46" s="8" t="s">
        <v>53</v>
      </c>
      <c r="E46" s="23">
        <v>4.4966666699999998</v>
      </c>
      <c r="F46" s="8" t="s">
        <v>54</v>
      </c>
      <c r="G46" s="26">
        <v>1.95</v>
      </c>
    </row>
    <row r="47" spans="1:7" ht="15.5" thickTop="1" thickBot="1" x14ac:dyDescent="0.4">
      <c r="A47" s="56"/>
      <c r="B47" s="56"/>
      <c r="C47" s="57" t="s">
        <v>96</v>
      </c>
      <c r="D47" s="59">
        <f xml:space="preserve"> COUNTIF(D2:D46,"*&gt;*")</f>
        <v>14</v>
      </c>
      <c r="E47" s="57" t="s">
        <v>99</v>
      </c>
      <c r="F47" s="58">
        <f xml:space="preserve"> COUNTIF(F2:F46,"*&gt;*")</f>
        <v>16</v>
      </c>
      <c r="G47" s="55"/>
    </row>
    <row r="48" spans="1:7" ht="15.5" thickTop="1" thickBot="1" x14ac:dyDescent="0.4">
      <c r="A48" s="56"/>
      <c r="B48" s="56"/>
      <c r="C48" s="57" t="s">
        <v>97</v>
      </c>
      <c r="D48" s="58">
        <f xml:space="preserve"> COUNTIF(D2:D46,"*=*")</f>
        <v>5</v>
      </c>
      <c r="E48" s="57" t="s">
        <v>100</v>
      </c>
      <c r="F48" s="58">
        <f xml:space="preserve"> COUNTIF(F2:F46,"*=*")</f>
        <v>13</v>
      </c>
      <c r="G48" s="55"/>
    </row>
    <row r="49" spans="1:7" ht="15.5" thickTop="1" thickBot="1" x14ac:dyDescent="0.4">
      <c r="A49" s="56"/>
      <c r="B49" s="56"/>
      <c r="C49" s="57" t="s">
        <v>98</v>
      </c>
      <c r="D49" s="59">
        <f xml:space="preserve"> COUNTIF(D2:D46,"*&lt;*")</f>
        <v>26</v>
      </c>
      <c r="E49" s="57" t="s">
        <v>101</v>
      </c>
      <c r="F49" s="58">
        <f xml:space="preserve"> COUNTIF(F2:F46,"*&lt;*")</f>
        <v>16</v>
      </c>
      <c r="G49" s="55"/>
    </row>
    <row r="50" spans="1:7" ht="15" thickTop="1" x14ac:dyDescent="0.35"/>
  </sheetData>
  <phoneticPr fontId="1" type="noConversion"/>
  <conditionalFormatting sqref="D1:D1048576">
    <cfRule type="containsText" dxfId="5" priority="4" operator="containsText" text="&gt;">
      <formula>NOT(ISERROR(SEARCH("&gt;",D1)))</formula>
    </cfRule>
  </conditionalFormatting>
  <conditionalFormatting sqref="F1:F1048576">
    <cfRule type="containsText" dxfId="3" priority="3" operator="containsText" text="&gt;">
      <formula>NOT(ISERROR(SEARCH("&gt;",F1)))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F28FF177-6846-4A3E-9192-F1677806E60B}">
            <xm:f>NOT(ISERROR(SEARCH("=",D1)))</xm:f>
            <xm:f>"="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D1:D1048576</xm:sqref>
        </x14:conditionalFormatting>
        <x14:conditionalFormatting xmlns:xm="http://schemas.microsoft.com/office/excel/2006/main">
          <x14:cfRule type="containsText" priority="1" operator="containsText" id="{FB2BFB55-F50B-4FA0-9A0E-711BF71A5CAA}">
            <xm:f>NOT(ISERROR(SEARCH("=",F1)))</xm:f>
            <xm:f>"="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F1:F1048576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E371-7BC8-4E6D-961E-5B30AE16CE95}">
  <sheetPr>
    <tabColor theme="2" tint="-9.9978637043366805E-2"/>
  </sheetPr>
  <dimension ref="A1:H2"/>
  <sheetViews>
    <sheetView workbookViewId="0"/>
  </sheetViews>
  <sheetFormatPr defaultRowHeight="14.5" x14ac:dyDescent="0.35"/>
  <cols>
    <col min="1" max="1" width="18.54296875" bestFit="1" customWidth="1"/>
    <col min="2" max="2" width="17.453125" bestFit="1" customWidth="1"/>
    <col min="3" max="3" width="16.54296875" bestFit="1" customWidth="1"/>
    <col min="4" max="4" width="22.54296875" bestFit="1" customWidth="1"/>
    <col min="5" max="5" width="15" bestFit="1" customWidth="1"/>
    <col min="6" max="6" width="20.90625" bestFit="1" customWidth="1"/>
    <col min="7" max="7" width="22.54296875" style="19" bestFit="1" customWidth="1"/>
    <col min="8" max="8" width="26.54296875" bestFit="1" customWidth="1"/>
  </cols>
  <sheetData>
    <row r="1" spans="1:8" x14ac:dyDescent="0.35">
      <c r="A1" s="2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21" t="s">
        <v>84</v>
      </c>
      <c r="H1" s="4" t="s">
        <v>85</v>
      </c>
    </row>
    <row r="2" spans="1:8" x14ac:dyDescent="0.35">
      <c r="A2" s="7">
        <v>16</v>
      </c>
      <c r="B2" s="8">
        <v>45</v>
      </c>
      <c r="C2" s="8">
        <v>45</v>
      </c>
      <c r="D2" s="8">
        <v>0</v>
      </c>
      <c r="E2" s="8">
        <v>2382</v>
      </c>
      <c r="F2" s="8">
        <v>21</v>
      </c>
      <c r="G2" s="23">
        <v>15.85</v>
      </c>
      <c r="H2" s="9">
        <v>52.93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201DF-F87D-49D3-A209-B047141DE80F}">
  <sheetPr>
    <tabColor theme="7" tint="0.79998168889431442"/>
  </sheetPr>
  <dimension ref="A1:H4"/>
  <sheetViews>
    <sheetView workbookViewId="0"/>
  </sheetViews>
  <sheetFormatPr defaultRowHeight="14.5" x14ac:dyDescent="0.35"/>
  <cols>
    <col min="1" max="1" width="19.1796875" bestFit="1" customWidth="1"/>
    <col min="2" max="2" width="27" bestFit="1" customWidth="1"/>
    <col min="3" max="3" width="5.36328125" customWidth="1"/>
    <col min="4" max="4" width="14.1796875" customWidth="1"/>
    <col min="5" max="5" width="10.90625" style="19" customWidth="1"/>
    <col min="6" max="6" width="10.7265625" style="20" customWidth="1"/>
    <col min="7" max="7" width="22.7265625" customWidth="1"/>
    <col min="8" max="8" width="13.81640625" customWidth="1"/>
  </cols>
  <sheetData>
    <row r="1" spans="1:8" x14ac:dyDescent="0.35">
      <c r="A1" s="14" t="s">
        <v>95</v>
      </c>
      <c r="B1" s="30" t="s">
        <v>2</v>
      </c>
      <c r="C1" s="30" t="s">
        <v>1</v>
      </c>
      <c r="D1" s="30" t="s">
        <v>0</v>
      </c>
      <c r="E1" s="21" t="s">
        <v>44</v>
      </c>
      <c r="F1" s="27" t="s">
        <v>3</v>
      </c>
      <c r="G1" s="13" t="s">
        <v>89</v>
      </c>
      <c r="H1" s="30" t="s">
        <v>91</v>
      </c>
    </row>
    <row r="2" spans="1:8" x14ac:dyDescent="0.35">
      <c r="A2" s="51" t="s">
        <v>86</v>
      </c>
      <c r="B2" s="83" t="s">
        <v>11</v>
      </c>
      <c r="C2" s="10">
        <f>INDEX('6_revenue_percent'!$B$2:$B$25,MATCH(B2,'6_revenue_percent'!$C$2:$C$25,0))</f>
        <v>34</v>
      </c>
      <c r="D2" s="10" t="str">
        <f>INDEX('6_revenue_percent'!$A$2:$A$25,MATCH(B2,'6_revenue_percent'!$C$2:$C$25,0))</f>
        <v>Beverages</v>
      </c>
      <c r="E2" s="19">
        <f>VLOOKUP(B2,'7_AVG_MED'!$B$2:$C$46,2,0)</f>
        <v>14</v>
      </c>
      <c r="F2" s="22">
        <f>VLOOKUP(B2,'6_revenue_percent'!$C$2:$D$25,2,0)</f>
        <v>6818</v>
      </c>
      <c r="G2" s="28">
        <f>VLOOKUP(B2,'10_ABC'!$B$2:$D$25,3,0)</f>
        <v>0.1366</v>
      </c>
      <c r="H2" s="17" t="str">
        <f>VLOOKUP(B2,'10_ABC'!$B$2:$F$25,5,0)</f>
        <v>A</v>
      </c>
    </row>
    <row r="3" spans="1:8" x14ac:dyDescent="0.35">
      <c r="A3" s="51" t="s">
        <v>87</v>
      </c>
      <c r="B3" s="81" t="s">
        <v>10</v>
      </c>
      <c r="C3" s="10">
        <f>INDEX('6_revenue_percent'!$B$2:$B$25,MATCH(B3,'6_revenue_percent'!$C$2:$C$25,0))</f>
        <v>43</v>
      </c>
      <c r="D3" s="10" t="str">
        <f>INDEX('6_revenue_percent'!$A$2:$A$25,MATCH(B3,'6_revenue_percent'!$C$2:$C$25,0))</f>
        <v>Beverages</v>
      </c>
      <c r="E3" s="19">
        <f>VLOOKUP(B3,'7_AVG_MED'!$B$2:$C$46,2,0)</f>
        <v>46</v>
      </c>
      <c r="F3" s="22">
        <f>VLOOKUP(B3,'6_revenue_percent'!$C$2:$D$25,2,0)</f>
        <v>14950</v>
      </c>
      <c r="G3" s="28">
        <f>VLOOKUP(B3,'10_ABC'!$B$2:$D$25,3,0)</f>
        <v>0.29949999999999999</v>
      </c>
      <c r="H3" s="17" t="str">
        <f>VLOOKUP(B3,'10_ABC'!$B$2:$F$25,5,0)</f>
        <v>A</v>
      </c>
    </row>
    <row r="4" spans="1:8" x14ac:dyDescent="0.35">
      <c r="A4" s="12" t="s">
        <v>88</v>
      </c>
      <c r="B4" s="86" t="s">
        <v>33</v>
      </c>
      <c r="C4" s="18">
        <f>INDEX('6_revenue_percent'!$B$2:$B$25,MATCH(B4,'6_revenue_percent'!$C$2:$C$25,0))</f>
        <v>20</v>
      </c>
      <c r="D4" s="18" t="str">
        <f>INDEX('6_revenue_percent'!$A$2:$A$25,MATCH(B4,'6_revenue_percent'!$C$2:$C$25,0))</f>
        <v>Jams, Preserves</v>
      </c>
      <c r="E4" s="19">
        <f>VLOOKUP(B4,'7_AVG_MED'!$B$2:$C$46,2,0)</f>
        <v>81</v>
      </c>
      <c r="F4" s="23">
        <f>VLOOKUP(B4,'6_revenue_percent'!$C$2:$D$25,2,0)</f>
        <v>3240</v>
      </c>
      <c r="G4" s="29">
        <f>VLOOKUP(B4,'10_ABC'!$B$2:$D$25,3,0)</f>
        <v>6.4899999999999999E-2</v>
      </c>
      <c r="H4" s="11" t="str">
        <f>VLOOKUP(B4,'10_ABC'!$B$2:$F$25,5,0)</f>
        <v>A</v>
      </c>
    </row>
  </sheetData>
  <phoneticPr fontId="1" type="noConversion"/>
  <conditionalFormatting sqref="E5:E1048576 E1 F2:F4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:F1048576 F1 G2:G4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4">
    <cfRule type="containsText" dxfId="2" priority="2" operator="containsText" text="A">
      <formula>NOT(ISERROR(SEARCH("A",H2)))</formula>
    </cfRule>
  </conditionalFormatting>
  <conditionalFormatting sqref="E1:E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A608-CCC5-45F9-91B5-382394FFB294}">
  <sheetPr>
    <tabColor theme="9" tint="0.79998168889431442"/>
  </sheetPr>
  <dimension ref="A1:M25"/>
  <sheetViews>
    <sheetView zoomScale="85" workbookViewId="0"/>
  </sheetViews>
  <sheetFormatPr defaultRowHeight="14.5" x14ac:dyDescent="0.35"/>
  <cols>
    <col min="1" max="1" width="4.6328125" bestFit="1" customWidth="1"/>
    <col min="2" max="2" width="36" bestFit="1" customWidth="1"/>
    <col min="3" max="3" width="10.453125" style="19" customWidth="1"/>
    <col min="4" max="4" width="23.1796875" style="20" bestFit="1" customWidth="1"/>
    <col min="5" max="5" width="25.6328125" style="20" bestFit="1" customWidth="1"/>
    <col min="6" max="6" width="14.1796875" bestFit="1" customWidth="1"/>
    <col min="7" max="7" width="22.1796875" customWidth="1"/>
    <col min="8" max="8" width="23" customWidth="1"/>
    <col min="9" max="9" width="11.36328125" customWidth="1"/>
    <col min="10" max="10" width="11.26953125" customWidth="1"/>
    <col min="11" max="11" width="11.1796875" customWidth="1"/>
    <col min="12" max="12" width="11.453125" bestFit="1" customWidth="1"/>
    <col min="13" max="13" width="8.7265625" style="88"/>
  </cols>
  <sheetData>
    <row r="1" spans="1:13" x14ac:dyDescent="0.35">
      <c r="A1" s="2" t="s">
        <v>1</v>
      </c>
      <c r="B1" s="3" t="s">
        <v>2</v>
      </c>
      <c r="C1" s="21" t="s">
        <v>3</v>
      </c>
      <c r="D1" s="27" t="s">
        <v>89</v>
      </c>
      <c r="E1" s="27" t="s">
        <v>90</v>
      </c>
      <c r="F1" s="3" t="s">
        <v>91</v>
      </c>
      <c r="G1" s="13" t="s">
        <v>0</v>
      </c>
      <c r="H1" s="60" t="s">
        <v>106</v>
      </c>
      <c r="I1" s="60" t="s">
        <v>105</v>
      </c>
      <c r="M1" s="87" t="s">
        <v>44</v>
      </c>
    </row>
    <row r="2" spans="1:13" x14ac:dyDescent="0.35">
      <c r="A2" s="5">
        <v>43</v>
      </c>
      <c r="B2" s="80" t="s">
        <v>10</v>
      </c>
      <c r="C2" s="22">
        <v>14950</v>
      </c>
      <c r="D2" s="28">
        <v>0.29949999999999999</v>
      </c>
      <c r="E2" s="28">
        <v>0.29949999999999999</v>
      </c>
      <c r="F2" s="6" t="s">
        <v>92</v>
      </c>
      <c r="G2" s="17" t="str">
        <f>INDEX('6_revenue_percent'!$A$2:$A$25,MATCH(B2,'6_revenue_percent'!$C$2:$C$25,0))</f>
        <v>Beverages</v>
      </c>
      <c r="H2" s="60" t="s">
        <v>0</v>
      </c>
      <c r="I2" t="s">
        <v>92</v>
      </c>
      <c r="J2" t="s">
        <v>93</v>
      </c>
      <c r="K2" t="s">
        <v>94</v>
      </c>
      <c r="L2" t="s">
        <v>102</v>
      </c>
      <c r="M2" s="88">
        <f>VLOOKUP(B2,'7_AVG_MED'!$B$2:$C$46,2,0)</f>
        <v>46</v>
      </c>
    </row>
    <row r="3" spans="1:13" x14ac:dyDescent="0.35">
      <c r="A3" s="5">
        <v>34</v>
      </c>
      <c r="B3" s="82" t="s">
        <v>11</v>
      </c>
      <c r="C3" s="22">
        <v>6818</v>
      </c>
      <c r="D3" s="28">
        <v>0.1366</v>
      </c>
      <c r="E3" s="28">
        <v>0.43609999999999999</v>
      </c>
      <c r="F3" s="6" t="s">
        <v>92</v>
      </c>
      <c r="G3" s="17" t="str">
        <f>INDEX('6_revenue_percent'!$A$2:$A$25,MATCH(B3,'6_revenue_percent'!$C$2:$C$25,0))</f>
        <v>Beverages</v>
      </c>
      <c r="H3" s="61" t="s">
        <v>6</v>
      </c>
      <c r="I3" s="1"/>
      <c r="J3" s="1">
        <v>1</v>
      </c>
      <c r="K3" s="1">
        <v>1</v>
      </c>
      <c r="L3" s="1">
        <v>2</v>
      </c>
      <c r="M3" s="88">
        <f>VLOOKUP(B3,'7_AVG_MED'!$B$2:$C$46,2,0)</f>
        <v>14</v>
      </c>
    </row>
    <row r="4" spans="1:13" x14ac:dyDescent="0.35">
      <c r="A4" s="5">
        <v>20</v>
      </c>
      <c r="B4" s="85" t="s">
        <v>33</v>
      </c>
      <c r="C4" s="22">
        <v>3240</v>
      </c>
      <c r="D4" s="28">
        <v>6.4899999999999999E-2</v>
      </c>
      <c r="E4" s="28">
        <v>0.501</v>
      </c>
      <c r="F4" s="6" t="s">
        <v>92</v>
      </c>
      <c r="G4" s="17" t="str">
        <f>INDEX('6_revenue_percent'!$A$2:$A$25,MATCH(B4,'6_revenue_percent'!$C$2:$C$25,0))</f>
        <v>Jams, Preserves</v>
      </c>
      <c r="H4" s="61" t="s">
        <v>9</v>
      </c>
      <c r="I4" s="1">
        <v>2</v>
      </c>
      <c r="J4" s="1"/>
      <c r="K4" s="1">
        <v>2</v>
      </c>
      <c r="L4" s="1">
        <v>4</v>
      </c>
      <c r="M4" s="88">
        <f>VLOOKUP(B4,'7_AVG_MED'!$B$2:$C$46,2,0)</f>
        <v>81</v>
      </c>
    </row>
    <row r="5" spans="1:13" x14ac:dyDescent="0.35">
      <c r="A5" s="5">
        <v>72</v>
      </c>
      <c r="B5" s="6" t="s">
        <v>24</v>
      </c>
      <c r="C5" s="22">
        <v>3132</v>
      </c>
      <c r="D5" s="28">
        <v>6.2799999999999995E-2</v>
      </c>
      <c r="E5" s="28">
        <v>0.56379999999999997</v>
      </c>
      <c r="F5" s="6" t="s">
        <v>92</v>
      </c>
      <c r="G5" s="17" t="str">
        <f>INDEX('6_revenue_percent'!$A$2:$A$25,MATCH(B5,'6_revenue_percent'!$C$2:$C$25,0))</f>
        <v>Dairy products</v>
      </c>
      <c r="H5" s="61" t="s">
        <v>14</v>
      </c>
      <c r="I5" s="1">
        <v>1</v>
      </c>
      <c r="J5" s="1"/>
      <c r="K5" s="1"/>
      <c r="L5" s="1">
        <v>1</v>
      </c>
      <c r="M5" s="88">
        <f>VLOOKUP(B5,'7_AVG_MED'!$B$2:$C$46,2,0)</f>
        <v>34.799999999999997</v>
      </c>
    </row>
    <row r="6" spans="1:13" x14ac:dyDescent="0.35">
      <c r="A6" s="5">
        <v>41</v>
      </c>
      <c r="B6" s="6" t="s">
        <v>43</v>
      </c>
      <c r="C6" s="22">
        <v>2798.5</v>
      </c>
      <c r="D6" s="28">
        <v>5.6099999999999997E-2</v>
      </c>
      <c r="E6" s="28">
        <v>0.61990000000000001</v>
      </c>
      <c r="F6" s="6" t="s">
        <v>92</v>
      </c>
      <c r="G6" s="17" t="str">
        <f>INDEX('6_revenue_percent'!$A$2:$A$25,MATCH(B6,'6_revenue_percent'!$C$2:$C$25,0))</f>
        <v>Soups</v>
      </c>
      <c r="H6" s="61" t="s">
        <v>16</v>
      </c>
      <c r="I6" s="1"/>
      <c r="J6" s="1">
        <v>1</v>
      </c>
      <c r="K6" s="1"/>
      <c r="L6" s="1">
        <v>1</v>
      </c>
      <c r="M6" s="88">
        <f>VLOOKUP(B6,'7_AVG_MED'!$B$2:$C$46,2,0)</f>
        <v>9.65</v>
      </c>
    </row>
    <row r="7" spans="1:13" x14ac:dyDescent="0.35">
      <c r="A7" s="5">
        <v>48</v>
      </c>
      <c r="B7" s="6" t="s">
        <v>15</v>
      </c>
      <c r="C7" s="22">
        <v>2550</v>
      </c>
      <c r="D7" s="28">
        <v>5.11E-2</v>
      </c>
      <c r="E7" s="28">
        <v>0.67090000000000005</v>
      </c>
      <c r="F7" s="6" t="s">
        <v>92</v>
      </c>
      <c r="G7" s="17" t="str">
        <f>INDEX('6_revenue_percent'!$A$2:$A$25,MATCH(B7,'6_revenue_percent'!$C$2:$C$25,0))</f>
        <v>Candy</v>
      </c>
      <c r="H7" s="61" t="s">
        <v>18</v>
      </c>
      <c r="I7" s="1"/>
      <c r="J7" s="1">
        <v>1</v>
      </c>
      <c r="K7" s="1"/>
      <c r="L7" s="1">
        <v>1</v>
      </c>
      <c r="M7" s="88">
        <f>VLOOKUP(B7,'7_AVG_MED'!$B$2:$C$46,2,0)</f>
        <v>12.75</v>
      </c>
    </row>
    <row r="8" spans="1:13" x14ac:dyDescent="0.35">
      <c r="A8" s="5">
        <v>6</v>
      </c>
      <c r="B8" s="6" t="s">
        <v>34</v>
      </c>
      <c r="C8" s="22">
        <v>2250</v>
      </c>
      <c r="D8" s="28">
        <v>4.5100000000000001E-2</v>
      </c>
      <c r="E8" s="28">
        <v>0.71599999999999997</v>
      </c>
      <c r="F8" s="6" t="s">
        <v>92</v>
      </c>
      <c r="G8" s="17" t="str">
        <f>INDEX('6_revenue_percent'!$A$2:$A$25,MATCH(B8,'6_revenue_percent'!$C$2:$C$25,0))</f>
        <v>Jams, Preserves</v>
      </c>
      <c r="H8" s="61" t="s">
        <v>20</v>
      </c>
      <c r="I8" s="1"/>
      <c r="J8" s="1">
        <v>1</v>
      </c>
      <c r="K8" s="1">
        <v>1</v>
      </c>
      <c r="L8" s="1">
        <v>2</v>
      </c>
      <c r="M8" s="88">
        <f>VLOOKUP(B8,'7_AVG_MED'!$B$2:$C$46,2,0)</f>
        <v>25</v>
      </c>
    </row>
    <row r="9" spans="1:13" x14ac:dyDescent="0.35">
      <c r="A9" s="5">
        <v>51</v>
      </c>
      <c r="B9" s="6" t="s">
        <v>26</v>
      </c>
      <c r="C9" s="22">
        <v>2120</v>
      </c>
      <c r="D9" s="28">
        <v>4.2500000000000003E-2</v>
      </c>
      <c r="E9" s="28">
        <v>0.75849999999999995</v>
      </c>
      <c r="F9" s="6" t="s">
        <v>92</v>
      </c>
      <c r="G9" s="17" t="str">
        <f>INDEX('6_revenue_percent'!$A$2:$A$25,MATCH(B9,'6_revenue_percent'!$C$2:$C$25,0))</f>
        <v>Dried Fruit &amp; Nuts</v>
      </c>
      <c r="H9" s="61" t="s">
        <v>23</v>
      </c>
      <c r="I9" s="1">
        <v>1</v>
      </c>
      <c r="J9" s="1"/>
      <c r="K9" s="1"/>
      <c r="L9" s="1">
        <v>1</v>
      </c>
      <c r="M9" s="88">
        <f>VLOOKUP(B9,'7_AVG_MED'!$B$2:$C$46,2,0)</f>
        <v>53</v>
      </c>
    </row>
    <row r="10" spans="1:13" x14ac:dyDescent="0.35">
      <c r="A10" s="5">
        <v>57</v>
      </c>
      <c r="B10" s="6" t="s">
        <v>38</v>
      </c>
      <c r="C10" s="22">
        <v>1950</v>
      </c>
      <c r="D10" s="28">
        <v>3.9100000000000003E-2</v>
      </c>
      <c r="E10" s="28">
        <v>0.79759999999999998</v>
      </c>
      <c r="F10" s="6" t="s">
        <v>92</v>
      </c>
      <c r="G10" s="17" t="str">
        <f>INDEX('6_revenue_percent'!$A$2:$A$25,MATCH(B10,'6_revenue_percent'!$C$2:$C$25,0))</f>
        <v>Pasta</v>
      </c>
      <c r="H10" s="61" t="s">
        <v>25</v>
      </c>
      <c r="I10" s="1">
        <v>1</v>
      </c>
      <c r="J10" s="1">
        <v>1</v>
      </c>
      <c r="K10" s="1">
        <v>2</v>
      </c>
      <c r="L10" s="1">
        <v>4</v>
      </c>
      <c r="M10" s="88">
        <f>VLOOKUP(B10,'7_AVG_MED'!$B$2:$C$46,2,0)</f>
        <v>19.5</v>
      </c>
    </row>
    <row r="11" spans="1:13" x14ac:dyDescent="0.35">
      <c r="A11" s="5">
        <v>8</v>
      </c>
      <c r="B11" s="6" t="s">
        <v>41</v>
      </c>
      <c r="C11" s="22">
        <v>1800</v>
      </c>
      <c r="D11" s="28">
        <v>3.61E-2</v>
      </c>
      <c r="E11" s="28">
        <v>0.83360000000000001</v>
      </c>
      <c r="F11" s="6" t="s">
        <v>93</v>
      </c>
      <c r="G11" s="17" t="str">
        <f>INDEX('6_revenue_percent'!$A$2:$A$25,MATCH(B11,'6_revenue_percent'!$C$2:$C$25,0))</f>
        <v>Sauces</v>
      </c>
      <c r="H11" s="61" t="s">
        <v>30</v>
      </c>
      <c r="I11" s="1"/>
      <c r="J11" s="1"/>
      <c r="K11" s="1">
        <v>1</v>
      </c>
      <c r="L11" s="1">
        <v>1</v>
      </c>
      <c r="M11" s="88">
        <f>VLOOKUP(B11,'7_AVG_MED'!$B$2:$C$46,2,0)</f>
        <v>40</v>
      </c>
    </row>
    <row r="12" spans="1:13" x14ac:dyDescent="0.35">
      <c r="A12" s="5">
        <v>17</v>
      </c>
      <c r="B12" s="6" t="s">
        <v>17</v>
      </c>
      <c r="C12" s="22">
        <v>1560</v>
      </c>
      <c r="D12" s="28">
        <v>3.1300000000000001E-2</v>
      </c>
      <c r="E12" s="28">
        <v>0.8649</v>
      </c>
      <c r="F12" s="6" t="s">
        <v>93</v>
      </c>
      <c r="G12" s="17" t="str">
        <f>INDEX('6_revenue_percent'!$A$2:$A$25,MATCH(B12,'6_revenue_percent'!$C$2:$C$25,0))</f>
        <v>Canned Fruit &amp; Vegetables</v>
      </c>
      <c r="H12" s="61" t="s">
        <v>32</v>
      </c>
      <c r="I12" s="1">
        <v>2</v>
      </c>
      <c r="J12" s="1"/>
      <c r="K12" s="1"/>
      <c r="L12" s="1">
        <v>2</v>
      </c>
      <c r="M12" s="88">
        <f>VLOOKUP(B12,'7_AVG_MED'!$B$2:$C$46,2,0)</f>
        <v>39</v>
      </c>
    </row>
    <row r="13" spans="1:13" x14ac:dyDescent="0.35">
      <c r="A13" s="5">
        <v>40</v>
      </c>
      <c r="B13" s="6" t="s">
        <v>19</v>
      </c>
      <c r="C13" s="22">
        <v>1472</v>
      </c>
      <c r="D13" s="28">
        <v>2.9499999999999998E-2</v>
      </c>
      <c r="E13" s="28">
        <v>0.89439999999999997</v>
      </c>
      <c r="F13" s="6" t="s">
        <v>93</v>
      </c>
      <c r="G13" s="17" t="str">
        <f>INDEX('6_revenue_percent'!$A$2:$A$25,MATCH(B13,'6_revenue_percent'!$C$2:$C$25,0))</f>
        <v>Canned Meat</v>
      </c>
      <c r="H13" s="61" t="s">
        <v>35</v>
      </c>
      <c r="I13" s="1"/>
      <c r="J13" s="1"/>
      <c r="K13" s="1">
        <v>1</v>
      </c>
      <c r="L13" s="1">
        <v>1</v>
      </c>
      <c r="M13" s="88">
        <f>VLOOKUP(B13,'7_AVG_MED'!$B$2:$C$46,2,0)</f>
        <v>18.399999999999999</v>
      </c>
    </row>
    <row r="14" spans="1:13" x14ac:dyDescent="0.35">
      <c r="A14" s="5">
        <v>7</v>
      </c>
      <c r="B14" s="6" t="s">
        <v>27</v>
      </c>
      <c r="C14" s="22">
        <v>1200</v>
      </c>
      <c r="D14" s="28">
        <v>2.4E-2</v>
      </c>
      <c r="E14" s="28">
        <v>0.91839999999999999</v>
      </c>
      <c r="F14" s="6" t="s">
        <v>93</v>
      </c>
      <c r="G14" s="17" t="str">
        <f>INDEX('6_revenue_percent'!$A$2:$A$25,MATCH(B14,'6_revenue_percent'!$C$2:$C$25,0))</f>
        <v>Dried Fruit &amp; Nuts</v>
      </c>
      <c r="H14" s="61" t="s">
        <v>37</v>
      </c>
      <c r="I14" s="1">
        <v>1</v>
      </c>
      <c r="J14" s="1"/>
      <c r="K14" s="1">
        <v>1</v>
      </c>
      <c r="L14" s="1">
        <v>2</v>
      </c>
      <c r="M14" s="88">
        <f>VLOOKUP(B14,'7_AVG_MED'!$B$2:$C$46,2,0)</f>
        <v>30</v>
      </c>
    </row>
    <row r="15" spans="1:13" x14ac:dyDescent="0.35">
      <c r="A15" s="5">
        <v>19</v>
      </c>
      <c r="B15" s="6" t="s">
        <v>7</v>
      </c>
      <c r="C15" s="22">
        <v>690</v>
      </c>
      <c r="D15" s="28">
        <v>1.38E-2</v>
      </c>
      <c r="E15" s="28">
        <v>0.93220000000000003</v>
      </c>
      <c r="F15" s="6" t="s">
        <v>93</v>
      </c>
      <c r="G15" s="17" t="str">
        <f>INDEX('6_revenue_percent'!$A$2:$A$25,MATCH(B15,'6_revenue_percent'!$C$2:$C$25,0))</f>
        <v>Baked Goods &amp; Mixes</v>
      </c>
      <c r="H15" s="61" t="s">
        <v>40</v>
      </c>
      <c r="I15" s="1"/>
      <c r="J15" s="1">
        <v>1</v>
      </c>
      <c r="K15" s="1"/>
      <c r="L15" s="1">
        <v>1</v>
      </c>
      <c r="M15" s="88">
        <f>VLOOKUP(B15,'7_AVG_MED'!$B$2:$C$46,2,0)</f>
        <v>9.1999999999999993</v>
      </c>
    </row>
    <row r="16" spans="1:13" x14ac:dyDescent="0.35">
      <c r="A16" s="5">
        <v>4</v>
      </c>
      <c r="B16" s="6" t="s">
        <v>21</v>
      </c>
      <c r="C16" s="22">
        <v>660</v>
      </c>
      <c r="D16" s="28">
        <v>1.32E-2</v>
      </c>
      <c r="E16" s="28">
        <v>0.94550000000000001</v>
      </c>
      <c r="F16" s="6" t="s">
        <v>93</v>
      </c>
      <c r="G16" s="17" t="str">
        <f>INDEX('6_revenue_percent'!$A$2:$A$25,MATCH(B16,'6_revenue_percent'!$C$2:$C$25,0))</f>
        <v>Condiments</v>
      </c>
      <c r="H16" s="61" t="s">
        <v>42</v>
      </c>
      <c r="I16" s="1">
        <v>1</v>
      </c>
      <c r="J16" s="1"/>
      <c r="K16" s="1"/>
      <c r="L16" s="1">
        <v>1</v>
      </c>
      <c r="M16" s="88">
        <f>VLOOKUP(B16,'7_AVG_MED'!$B$2:$C$46,2,0)</f>
        <v>22</v>
      </c>
    </row>
    <row r="17" spans="1:13" x14ac:dyDescent="0.35">
      <c r="A17" s="5">
        <v>81</v>
      </c>
      <c r="B17" s="6" t="s">
        <v>12</v>
      </c>
      <c r="C17" s="22">
        <v>598</v>
      </c>
      <c r="D17" s="28">
        <v>1.2E-2</v>
      </c>
      <c r="E17" s="28">
        <v>0.95750000000000002</v>
      </c>
      <c r="F17" s="6" t="s">
        <v>94</v>
      </c>
      <c r="G17" s="17" t="str">
        <f>INDEX('6_revenue_percent'!$A$2:$A$25,MATCH(B17,'6_revenue_percent'!$C$2:$C$25,0))</f>
        <v>Beverages</v>
      </c>
      <c r="H17" s="61" t="s">
        <v>102</v>
      </c>
      <c r="I17" s="1">
        <v>9</v>
      </c>
      <c r="J17" s="1">
        <v>6</v>
      </c>
      <c r="K17" s="1">
        <v>9</v>
      </c>
      <c r="L17" s="1">
        <v>24</v>
      </c>
      <c r="M17" s="88">
        <f>VLOOKUP(B17,'7_AVG_MED'!$B$2:$C$46,2,0)</f>
        <v>2.99</v>
      </c>
    </row>
    <row r="18" spans="1:13" x14ac:dyDescent="0.35">
      <c r="A18" s="5">
        <v>5</v>
      </c>
      <c r="B18" s="6" t="s">
        <v>36</v>
      </c>
      <c r="C18" s="22">
        <v>533.75</v>
      </c>
      <c r="D18" s="28">
        <v>1.0699999999999999E-2</v>
      </c>
      <c r="E18" s="28">
        <v>0.96809999999999996</v>
      </c>
      <c r="F18" s="6" t="s">
        <v>94</v>
      </c>
      <c r="G18" s="17" t="str">
        <f>INDEX('6_revenue_percent'!$A$2:$A$25,MATCH(B18,'6_revenue_percent'!$C$2:$C$25,0))</f>
        <v>Oil</v>
      </c>
      <c r="M18" s="88">
        <f>VLOOKUP(B18,'7_AVG_MED'!$B$2:$C$46,2,0)</f>
        <v>21.35</v>
      </c>
    </row>
    <row r="19" spans="1:13" x14ac:dyDescent="0.35">
      <c r="A19" s="5">
        <v>3</v>
      </c>
      <c r="B19" s="6" t="s">
        <v>22</v>
      </c>
      <c r="C19" s="22">
        <v>500</v>
      </c>
      <c r="D19" s="28">
        <v>0.01</v>
      </c>
      <c r="E19" s="28">
        <v>0.97819999999999996</v>
      </c>
      <c r="F19" s="6" t="s">
        <v>94</v>
      </c>
      <c r="G19" s="17" t="str">
        <f>INDEX('6_revenue_percent'!$A$2:$A$25,MATCH(B19,'6_revenue_percent'!$C$2:$C$25,0))</f>
        <v>Condiments</v>
      </c>
      <c r="H19" s="70" t="s">
        <v>113</v>
      </c>
      <c r="I19" s="15" t="s">
        <v>114</v>
      </c>
      <c r="M19" s="88">
        <f>VLOOKUP(B19,'7_AVG_MED'!$B$2:$C$46,2,0)</f>
        <v>10</v>
      </c>
    </row>
    <row r="20" spans="1:13" x14ac:dyDescent="0.35">
      <c r="A20" s="5">
        <v>52</v>
      </c>
      <c r="B20" s="6" t="s">
        <v>31</v>
      </c>
      <c r="C20" s="22">
        <v>280</v>
      </c>
      <c r="D20" s="28">
        <v>5.5999999999999999E-3</v>
      </c>
      <c r="E20" s="28">
        <v>0.98380000000000001</v>
      </c>
      <c r="F20" s="6" t="s">
        <v>94</v>
      </c>
      <c r="G20" s="17" t="str">
        <f>INDEX('6_revenue_percent'!$A$2:$A$25,MATCH(B20,'6_revenue_percent'!$C$2:$C$25,0))</f>
        <v>Grains</v>
      </c>
      <c r="H20" s="71" t="s">
        <v>92</v>
      </c>
      <c r="I20" s="89">
        <f>SUMIF(_10_ABC[abc_category],H20,_10_ABC[revenue])</f>
        <v>39808.5</v>
      </c>
      <c r="M20" s="88">
        <f>VLOOKUP(B20,'7_AVG_MED'!$B$2:$C$46,2,0)</f>
        <v>7</v>
      </c>
    </row>
    <row r="21" spans="1:13" x14ac:dyDescent="0.35">
      <c r="A21" s="5">
        <v>1</v>
      </c>
      <c r="B21" s="6" t="s">
        <v>13</v>
      </c>
      <c r="C21" s="22">
        <v>270</v>
      </c>
      <c r="D21" s="28">
        <v>5.4000000000000003E-3</v>
      </c>
      <c r="E21" s="28">
        <v>0.98919999999999997</v>
      </c>
      <c r="F21" s="6" t="s">
        <v>94</v>
      </c>
      <c r="G21" s="17" t="str">
        <f>INDEX('6_revenue_percent'!$A$2:$A$25,MATCH(B21,'6_revenue_percent'!$C$2:$C$25,0))</f>
        <v>Beverages</v>
      </c>
      <c r="H21" s="71" t="s">
        <v>93</v>
      </c>
      <c r="I21" s="89">
        <f>SUMIF(_10_ABC[abc_category],H21,_10_ABC[revenue])</f>
        <v>7382</v>
      </c>
      <c r="M21" s="88">
        <f>VLOOKUP(B21,'7_AVG_MED'!$B$2:$C$46,2,0)</f>
        <v>18</v>
      </c>
    </row>
    <row r="22" spans="1:13" x14ac:dyDescent="0.35">
      <c r="A22" s="5">
        <v>21</v>
      </c>
      <c r="B22" s="6" t="s">
        <v>8</v>
      </c>
      <c r="C22" s="22">
        <v>200</v>
      </c>
      <c r="D22" s="28">
        <v>4.0000000000000001E-3</v>
      </c>
      <c r="E22" s="28">
        <v>0.99719999999999998</v>
      </c>
      <c r="F22" s="6" t="s">
        <v>94</v>
      </c>
      <c r="G22" s="17" t="str">
        <f>INDEX('6_revenue_percent'!$A$2:$A$25,MATCH(B22,'6_revenue_percent'!$C$2:$C$25,0))</f>
        <v>Baked Goods &amp; Mixes</v>
      </c>
      <c r="H22" s="71" t="s">
        <v>94</v>
      </c>
      <c r="I22" s="89">
        <f>SUMIF(_10_ABC[abc_category],H22,_10_ABC[revenue])</f>
        <v>2721.75</v>
      </c>
      <c r="M22" s="88">
        <f>VLOOKUP(B22,'7_AVG_MED'!$B$2:$C$46,2,0)</f>
        <v>10</v>
      </c>
    </row>
    <row r="23" spans="1:13" x14ac:dyDescent="0.35">
      <c r="A23" s="5">
        <v>74</v>
      </c>
      <c r="B23" s="6" t="s">
        <v>29</v>
      </c>
      <c r="C23" s="22">
        <v>200</v>
      </c>
      <c r="D23" s="28">
        <v>4.0000000000000001E-3</v>
      </c>
      <c r="E23" s="28">
        <v>0.99719999999999998</v>
      </c>
      <c r="F23" s="6" t="s">
        <v>94</v>
      </c>
      <c r="G23" s="17" t="str">
        <f>INDEX('6_revenue_percent'!$A$2:$A$25,MATCH(B23,'6_revenue_percent'!$C$2:$C$25,0))</f>
        <v>Dried Fruit &amp; Nuts</v>
      </c>
      <c r="M23" s="88">
        <f>VLOOKUP(B23,'7_AVG_MED'!$B$2:$C$46,2,0)</f>
        <v>10</v>
      </c>
    </row>
    <row r="24" spans="1:13" x14ac:dyDescent="0.35">
      <c r="A24" s="5">
        <v>80</v>
      </c>
      <c r="B24" s="6" t="s">
        <v>28</v>
      </c>
      <c r="C24" s="22">
        <v>140</v>
      </c>
      <c r="D24" s="28">
        <v>2.8E-3</v>
      </c>
      <c r="E24" s="28">
        <v>1</v>
      </c>
      <c r="F24" s="6" t="s">
        <v>94</v>
      </c>
      <c r="G24" s="17" t="str">
        <f>INDEX('6_revenue_percent'!$A$2:$A$25,MATCH(B24,'6_revenue_percent'!$C$2:$C$25,0))</f>
        <v>Dried Fruit &amp; Nuts</v>
      </c>
      <c r="M24" s="88">
        <f>VLOOKUP(B24,'7_AVG_MED'!$B$2:$C$46,2,0)</f>
        <v>3.5</v>
      </c>
    </row>
    <row r="25" spans="1:13" x14ac:dyDescent="0.35">
      <c r="A25" s="7">
        <v>56</v>
      </c>
      <c r="B25" s="8" t="s">
        <v>39</v>
      </c>
      <c r="C25" s="23">
        <v>0</v>
      </c>
      <c r="D25" s="29">
        <v>0</v>
      </c>
      <c r="E25" s="29">
        <v>1</v>
      </c>
      <c r="F25" s="8" t="s">
        <v>94</v>
      </c>
      <c r="G25" s="11" t="str">
        <f>INDEX('6_revenue_percent'!$A$2:$A$25,MATCH(B25,'6_revenue_percent'!$C$2:$C$25,0))</f>
        <v>Pasta</v>
      </c>
      <c r="M25" s="88">
        <f>VLOOKUP(B25,'7_AVG_MED'!$B$2:$C$46,2,0)</f>
        <v>38</v>
      </c>
    </row>
  </sheetData>
  <phoneticPr fontId="1" type="noConversion"/>
  <conditionalFormatting sqref="F2:F25">
    <cfRule type="containsText" dxfId="1" priority="1" operator="containsText" text="B">
      <formula>NOT(ISERROR(SEARCH("B",F2)))</formula>
    </cfRule>
    <cfRule type="containsText" dxfId="0" priority="2" operator="containsText" text="A">
      <formula>NOT(ISERROR(SEARCH("A",F2)))</formula>
    </cfRule>
  </conditionalFormatting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0C8211-41B5-406E-A2B3-7B211C6FC9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Dashboard</vt:lpstr>
      <vt:lpstr>Report</vt:lpstr>
      <vt:lpstr>6_revenue_percent</vt:lpstr>
      <vt:lpstr>7_AVG_MED</vt:lpstr>
      <vt:lpstr>8_products_KPI</vt:lpstr>
      <vt:lpstr>9_top_products</vt:lpstr>
      <vt:lpstr>10_ABC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r_dupak@volganet.ru</dc:creator>
  <cp:lastModifiedBy>r_dupak@volganet.ru</cp:lastModifiedBy>
  <dcterms:created xsi:type="dcterms:W3CDTF">2026-08-03T12:09:00Z</dcterms:created>
  <dcterms:modified xsi:type="dcterms:W3CDTF">2026-08-07T10:05:26Z</dcterms:modified>
</cp:coreProperties>
</file>